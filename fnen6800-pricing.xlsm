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el\GoogleDrive\mba\FINE6800\fine-6800-pricing\"/>
    </mc:Choice>
  </mc:AlternateContent>
  <xr:revisionPtr revIDLastSave="0" documentId="13_ncr:1_{C00E33F3-AE53-4CC9-8B77-4CB0923D2716}" xr6:coauthVersionLast="44" xr6:coauthVersionMax="45" xr10:uidLastSave="{00000000-0000-0000-0000-000000000000}"/>
  <bookViews>
    <workbookView xWindow="28680" yWindow="-120" windowWidth="29040" windowHeight="15840" activeTab="1" xr2:uid="{00000000-000D-0000-FFFF-FFFF00000000}"/>
  </bookViews>
  <sheets>
    <sheet name="Sheet1" sheetId="35" r:id="rId1"/>
    <sheet name="discount-factors" sheetId="30" r:id="rId2"/>
  </sheets>
  <functionGroups builtInGroupCount="19"/>
  <definedNames>
    <definedName name="AnnualCoupon">#REF!</definedName>
    <definedName name="AnnualCoupon1">#REF!</definedName>
    <definedName name="AnnualCoupon2">#REF!</definedName>
    <definedName name="BondPrice">#REF!</definedName>
    <definedName name="BondPrice2">#REF!</definedName>
    <definedName name="FaceValue">#REF!</definedName>
    <definedName name="Maturity">#REF!</definedName>
    <definedName name="Maturity2">#REF!</definedName>
    <definedName name="PeriodCoupon">#REF!</definedName>
    <definedName name="PeriodCoupon2">#REF!</definedName>
    <definedName name="SemiAnnualPeriod">#REF!</definedName>
    <definedName name="SemiAnnualPeriod2">#REF!</definedName>
    <definedName name="solver_adj" localSheetId="1" hidden="1">'discount-factors'!$M$26:$M$31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'discount-factors'!$L$32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X">#REF!</definedName>
    <definedName name="Xa">#REF!</definedName>
    <definedName name="Xb">#REF!</definedName>
    <definedName name="Xc">#REF!</definedName>
    <definedName name="XX">#REF!</definedName>
    <definedName name="Y">#REF!</definedName>
    <definedName name="Ya">#REF!</definedName>
    <definedName name="Yb">#REF!</definedName>
    <definedName name="Yc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19" i="30" l="1"/>
  <c r="V19" i="30"/>
  <c r="V20" i="30"/>
  <c r="V11" i="30"/>
  <c r="V17" i="30"/>
  <c r="V16" i="30"/>
  <c r="V13" i="30"/>
  <c r="V18" i="30"/>
  <c r="V10" i="30"/>
  <c r="V9" i="30"/>
  <c r="V8" i="30"/>
  <c r="V15" i="30"/>
  <c r="V14" i="30"/>
  <c r="V21" i="30"/>
  <c r="V12" i="30"/>
  <c r="V7" i="30"/>
  <c r="S21" i="30"/>
  <c r="S13" i="30"/>
  <c r="S17" i="30"/>
  <c r="S15" i="30"/>
  <c r="S20" i="30"/>
  <c r="S12" i="30"/>
  <c r="S19" i="30"/>
  <c r="S11" i="30"/>
  <c r="S16" i="30"/>
  <c r="S14" i="30"/>
  <c r="S18" i="30"/>
  <c r="S10" i="30"/>
  <c r="S9" i="30"/>
  <c r="S8" i="30"/>
  <c r="S7" i="30"/>
  <c r="W21" i="30"/>
  <c r="W13" i="30"/>
  <c r="W10" i="30"/>
  <c r="W17" i="30"/>
  <c r="W20" i="30"/>
  <c r="W12" i="30"/>
  <c r="W18" i="30"/>
  <c r="W14" i="30"/>
  <c r="W11" i="30"/>
  <c r="W9" i="30"/>
  <c r="W16" i="30"/>
  <c r="W8" i="30"/>
  <c r="W15" i="30"/>
  <c r="W7" i="30"/>
  <c r="U21" i="30"/>
  <c r="U20" i="30"/>
  <c r="U19" i="30"/>
  <c r="U18" i="30"/>
  <c r="U17" i="30"/>
  <c r="U16" i="30"/>
  <c r="U15" i="30"/>
  <c r="U14" i="30"/>
  <c r="U13" i="30"/>
  <c r="U12" i="30"/>
  <c r="U11" i="30"/>
  <c r="U10" i="30"/>
  <c r="U9" i="30"/>
  <c r="U8" i="30"/>
  <c r="U7" i="30"/>
  <c r="R21" i="30"/>
  <c r="R20" i="30"/>
  <c r="R19" i="30"/>
  <c r="R18" i="30"/>
  <c r="R17" i="30"/>
  <c r="R16" i="30"/>
  <c r="R15" i="30"/>
  <c r="R14" i="30"/>
  <c r="R13" i="30"/>
  <c r="R12" i="30"/>
  <c r="R11" i="30"/>
  <c r="R10" i="30"/>
  <c r="R9" i="30"/>
  <c r="R8" i="30"/>
  <c r="R7" i="30"/>
  <c r="Q10" i="30"/>
  <c r="Q12" i="30" s="1"/>
  <c r="Q14" i="30" s="1"/>
  <c r="Q16" i="30" s="1"/>
  <c r="Q9" i="30"/>
  <c r="Q11" i="30" s="1"/>
  <c r="Q13" i="30" s="1"/>
  <c r="Q15" i="30" s="1"/>
  <c r="Q17" i="30" s="1"/>
  <c r="Q19" i="30" s="1"/>
  <c r="D25" i="30"/>
  <c r="M23" i="30"/>
  <c r="D29" i="30"/>
  <c r="C31" i="30"/>
  <c r="H31" i="30" s="1"/>
  <c r="B31" i="30"/>
  <c r="C30" i="30"/>
  <c r="D30" i="30" s="1"/>
  <c r="N30" i="30" s="1"/>
  <c r="B30" i="30"/>
  <c r="C29" i="30"/>
  <c r="H29" i="30" s="1"/>
  <c r="B29" i="30"/>
  <c r="F29" i="30" s="1"/>
  <c r="C28" i="30"/>
  <c r="H28" i="30" s="1"/>
  <c r="B28" i="30"/>
  <c r="C27" i="30"/>
  <c r="D27" i="30" s="1"/>
  <c r="B27" i="30"/>
  <c r="C26" i="30"/>
  <c r="B26" i="30"/>
  <c r="M25" i="30"/>
  <c r="M24" i="30"/>
  <c r="M22" i="30"/>
  <c r="H11" i="30"/>
  <c r="G11" i="30"/>
  <c r="F16" i="30"/>
  <c r="F15" i="30"/>
  <c r="F14" i="30"/>
  <c r="F13" i="30"/>
  <c r="F12" i="30"/>
  <c r="F11" i="30"/>
  <c r="T20" i="30"/>
  <c r="T12" i="30"/>
  <c r="T19" i="30"/>
  <c r="T11" i="30"/>
  <c r="T9" i="30"/>
  <c r="T13" i="30"/>
  <c r="T18" i="30"/>
  <c r="T10" i="30"/>
  <c r="T17" i="30"/>
  <c r="T16" i="30"/>
  <c r="T8" i="30"/>
  <c r="T14" i="30"/>
  <c r="T15" i="30"/>
  <c r="T21" i="30"/>
  <c r="T7" i="30"/>
  <c r="AB46" i="30"/>
  <c r="F28" i="30" l="1"/>
  <c r="G27" i="30"/>
  <c r="G28" i="30"/>
  <c r="G31" i="30"/>
  <c r="H27" i="30"/>
  <c r="I27" i="30" s="1"/>
  <c r="D28" i="30"/>
  <c r="N28" i="30" s="1"/>
  <c r="F26" i="30"/>
  <c r="D31" i="30"/>
  <c r="F27" i="30"/>
  <c r="G30" i="30"/>
  <c r="F30" i="30"/>
  <c r="G29" i="30"/>
  <c r="I29" i="30" s="1"/>
  <c r="J29" i="30" s="1"/>
  <c r="F31" i="30"/>
  <c r="H26" i="30"/>
  <c r="D26" i="30"/>
  <c r="N26" i="30" s="1"/>
  <c r="G26" i="30"/>
  <c r="H30" i="30"/>
  <c r="I30" i="30" s="1"/>
  <c r="N25" i="30"/>
  <c r="I28" i="30"/>
  <c r="Q18" i="30"/>
  <c r="Q20" i="30" s="1"/>
  <c r="I31" i="30"/>
  <c r="I11" i="30"/>
  <c r="J27" i="30" l="1"/>
  <c r="J28" i="30"/>
  <c r="J30" i="30"/>
  <c r="I26" i="30"/>
  <c r="J26" i="30" s="1"/>
  <c r="J31" i="30"/>
  <c r="N29" i="30"/>
  <c r="N27" i="30"/>
  <c r="N31" i="30"/>
  <c r="M10" i="30" l="1"/>
  <c r="N10" i="30" s="1"/>
  <c r="M9" i="30"/>
  <c r="M8" i="30"/>
  <c r="M7" i="30"/>
  <c r="C12" i="35"/>
  <c r="C13" i="35"/>
  <c r="C14" i="35"/>
  <c r="H16" i="30"/>
  <c r="G16" i="30"/>
  <c r="D16" i="30"/>
  <c r="N16" i="30" s="1"/>
  <c r="H15" i="30"/>
  <c r="G15" i="30"/>
  <c r="D15" i="30"/>
  <c r="N15" i="30" s="1"/>
  <c r="H14" i="30"/>
  <c r="G14" i="30"/>
  <c r="D14" i="30"/>
  <c r="N14" i="30" s="1"/>
  <c r="H13" i="30"/>
  <c r="G13" i="30"/>
  <c r="D13" i="30"/>
  <c r="N13" i="30" s="1"/>
  <c r="H12" i="30"/>
  <c r="G12" i="30"/>
  <c r="D12" i="30"/>
  <c r="N12" i="30" s="1"/>
  <c r="D11" i="30"/>
  <c r="D9" i="30"/>
  <c r="D24" i="30" s="1"/>
  <c r="N24" i="30" s="1"/>
  <c r="D8" i="30"/>
  <c r="D23" i="30" s="1"/>
  <c r="N23" i="30" s="1"/>
  <c r="D7" i="30"/>
  <c r="D22" i="30" s="1"/>
  <c r="K29" i="30"/>
  <c r="K26" i="30"/>
  <c r="K27" i="30"/>
  <c r="K30" i="30"/>
  <c r="K31" i="30"/>
  <c r="K28" i="30"/>
  <c r="K11" i="30"/>
  <c r="L28" i="30" l="1"/>
  <c r="N22" i="30"/>
  <c r="L30" i="30"/>
  <c r="L26" i="30"/>
  <c r="L31" i="30"/>
  <c r="L27" i="30"/>
  <c r="L29" i="30"/>
  <c r="I16" i="30"/>
  <c r="J16" i="30" s="1"/>
  <c r="N11" i="30"/>
  <c r="N7" i="30"/>
  <c r="I13" i="30"/>
  <c r="J13" i="30" s="1"/>
  <c r="I15" i="30"/>
  <c r="J15" i="30" s="1"/>
  <c r="J11" i="30"/>
  <c r="L11" i="30" s="1"/>
  <c r="N9" i="30"/>
  <c r="N8" i="30"/>
  <c r="I14" i="30"/>
  <c r="J14" i="30" s="1"/>
  <c r="I12" i="30"/>
  <c r="J12" i="30" s="1"/>
  <c r="K12" i="30"/>
  <c r="K13" i="30"/>
  <c r="K15" i="30"/>
  <c r="K14" i="30"/>
  <c r="K16" i="30"/>
  <c r="L32" i="30" l="1"/>
  <c r="L16" i="30"/>
  <c r="L15" i="30"/>
  <c r="L13" i="30"/>
  <c r="L12" i="30"/>
  <c r="L14" i="30"/>
  <c r="AE44" i="30"/>
  <c r="AA64" i="30"/>
  <c r="AE61" i="30"/>
  <c r="AE51" i="30"/>
  <c r="AC67" i="30"/>
  <c r="AC55" i="30"/>
  <c r="AC47" i="30"/>
  <c r="AA65" i="30"/>
  <c r="AA62" i="30"/>
  <c r="AA57" i="30"/>
  <c r="AA54" i="30"/>
  <c r="AA51" i="30"/>
  <c r="AA49" i="30"/>
  <c r="AA47" i="30"/>
  <c r="AB49" i="30"/>
  <c r="AB55" i="30"/>
  <c r="AB47" i="30"/>
  <c r="AD68" i="30"/>
  <c r="AB64" i="30"/>
  <c r="AB48" i="30"/>
  <c r="AB57" i="30"/>
  <c r="AB65" i="30"/>
  <c r="L17" i="30" l="1"/>
  <c r="AA45" i="30"/>
  <c r="AB66" i="30"/>
  <c r="AB50" i="30"/>
  <c r="AB60" i="30"/>
  <c r="AB45" i="30"/>
  <c r="AB44" i="30" l="1"/>
  <c r="AA67" i="30"/>
  <c r="AA68" i="30" s="1"/>
  <c r="AC44" i="30" s="1"/>
  <c r="AA61" i="30"/>
  <c r="AB67" i="30"/>
  <c r="AB68" i="30"/>
  <c r="AB51" i="30"/>
  <c r="AA53" i="30" l="1"/>
  <c r="AB52" i="30"/>
  <c r="AB61" i="30"/>
  <c r="AB53" i="30"/>
  <c r="AB54" i="30"/>
  <c r="AB62" i="30"/>
  <c r="AB63" i="30"/>
  <c r="AC45" i="30" l="1"/>
  <c r="AC46" i="30" s="1"/>
  <c r="AD44" i="30"/>
  <c r="AD45" i="30"/>
  <c r="AD46" i="30"/>
  <c r="AC49" i="30" l="1"/>
  <c r="AD47" i="30"/>
  <c r="AD48" i="30"/>
  <c r="AC50" i="30" l="1"/>
  <c r="AD49" i="30"/>
  <c r="AD50" i="30"/>
  <c r="AC51" i="30" l="1"/>
  <c r="AC52" i="30" l="1"/>
  <c r="AD51" i="30"/>
  <c r="AC53" i="30" l="1"/>
  <c r="AD52" i="30"/>
  <c r="AC54" i="30" l="1"/>
  <c r="AD53" i="30"/>
  <c r="AD54" i="30"/>
  <c r="AD55" i="30"/>
  <c r="AC60" i="30" l="1"/>
  <c r="AD57" i="30"/>
  <c r="AC61" i="30" l="1"/>
  <c r="AD60" i="30"/>
  <c r="AD61" i="30"/>
  <c r="AC62" i="30" l="1"/>
  <c r="AC63" i="30" s="1"/>
  <c r="AC64" i="30" s="1"/>
  <c r="AC65" i="30" l="1"/>
  <c r="AD64" i="30"/>
  <c r="AD63" i="30"/>
  <c r="AD65" i="30"/>
  <c r="AD62" i="30"/>
  <c r="AC66" i="30" l="1"/>
  <c r="AD66" i="30"/>
  <c r="AD67" i="30"/>
  <c r="AF44" i="30"/>
  <c r="AE45" i="30" l="1"/>
  <c r="AE46" i="30" l="1"/>
  <c r="AF45" i="30"/>
  <c r="AE47" i="30" l="1"/>
  <c r="AE48" i="30" l="1"/>
  <c r="AF46" i="30"/>
  <c r="AF47" i="30"/>
  <c r="AE49" i="30" l="1"/>
  <c r="AE50" i="30" s="1"/>
  <c r="AF48" i="30"/>
  <c r="AF49" i="30"/>
  <c r="AF50" i="30"/>
  <c r="AF51" i="30"/>
  <c r="AE53" i="30" l="1"/>
  <c r="AF52" i="30"/>
  <c r="AE54" i="30" l="1"/>
  <c r="AF53" i="30"/>
  <c r="AF54" i="30"/>
  <c r="AE55" i="30" l="1"/>
  <c r="AE57" i="30" l="1"/>
  <c r="AF55" i="30"/>
  <c r="AE60" i="30" l="1"/>
  <c r="AF57" i="30"/>
  <c r="AF60" i="30"/>
  <c r="AE63" i="30" l="1"/>
  <c r="AE64" i="30" s="1"/>
  <c r="AF61" i="30"/>
  <c r="AF62" i="30"/>
  <c r="AE65" i="30" l="1"/>
  <c r="AF64" i="30"/>
  <c r="AF63" i="30"/>
  <c r="AE66" i="30" l="1"/>
  <c r="AF65" i="30"/>
  <c r="AF66" i="30"/>
  <c r="AE67" i="30" l="1"/>
  <c r="AE68" i="30" s="1"/>
  <c r="AF68" i="30"/>
  <c r="AF67" i="30"/>
</calcChain>
</file>

<file path=xl/sharedStrings.xml><?xml version="1.0" encoding="utf-8"?>
<sst xmlns="http://schemas.openxmlformats.org/spreadsheetml/2006/main" count="139" uniqueCount="57">
  <si>
    <t xml:space="preserve"> </t>
  </si>
  <si>
    <t>Error</t>
  </si>
  <si>
    <t>(actual/365)</t>
  </si>
  <si>
    <t>Coupons/Year:</t>
  </si>
  <si>
    <t>Par Value:</t>
  </si>
  <si>
    <t>Coupon</t>
  </si>
  <si>
    <t>Maturity</t>
  </si>
  <si>
    <t>Price Error Sum:</t>
  </si>
  <si>
    <t>Day Count Flag:</t>
  </si>
  <si>
    <t>BEY Spot Rates</t>
  </si>
  <si>
    <t>in Years</t>
  </si>
  <si>
    <t>Linear</t>
  </si>
  <si>
    <t>Rate</t>
  </si>
  <si>
    <t>na</t>
  </si>
  <si>
    <t>Discount</t>
  </si>
  <si>
    <t>Quoted</t>
  </si>
  <si>
    <t>Price</t>
  </si>
  <si>
    <t>Date</t>
  </si>
  <si>
    <t>BEY</t>
  </si>
  <si>
    <t>Yield</t>
  </si>
  <si>
    <t>Full</t>
  </si>
  <si>
    <t>1-Month T-Bill</t>
  </si>
  <si>
    <t>TMBMBCA-03M</t>
  </si>
  <si>
    <t>TMBMBCA-06M</t>
  </si>
  <si>
    <t>TMBMBCA-01Y</t>
  </si>
  <si>
    <t>TMBMKCA-02Y</t>
  </si>
  <si>
    <t>TMBMKCA-04Y</t>
  </si>
  <si>
    <t>TMBMKCA-05Y</t>
  </si>
  <si>
    <t>TMBMKCA-06Y</t>
  </si>
  <si>
    <t>TMBMKCA-07Y</t>
  </si>
  <si>
    <t>TMBMKCA-08Y</t>
  </si>
  <si>
    <t>1-Year T-Bill</t>
  </si>
  <si>
    <t>6-Month T-Bill</t>
  </si>
  <si>
    <t>3-Month T-Bill</t>
  </si>
  <si>
    <t>Canada Bond</t>
  </si>
  <si>
    <t>Evaluation Date:</t>
  </si>
  <si>
    <t>BEY
Spot Rates</t>
  </si>
  <si>
    <r>
      <t>1-Month T-Bill</t>
    </r>
    <r>
      <rPr>
        <vertAlign val="superscript"/>
        <sz val="11"/>
        <rFont val="Calibri"/>
        <family val="2"/>
        <scheme val="minor"/>
      </rPr>
      <t>2</t>
    </r>
  </si>
  <si>
    <r>
      <t>Bond</t>
    </r>
    <r>
      <rPr>
        <vertAlign val="superscript"/>
        <sz val="11"/>
        <color theme="1"/>
        <rFont val="Calibri"/>
        <family val="2"/>
        <scheme val="minor"/>
      </rPr>
      <t>1</t>
    </r>
  </si>
  <si>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Bond data from https://www.marketwatch.com/investing/bond </t>
    </r>
  </si>
  <si>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1-Month T-Bill not found but yield on https://ycharts.com/indicators/canada_1_month_treasury_bill_yield</t>
    </r>
  </si>
  <si>
    <t>Current Date:</t>
  </si>
  <si>
    <t>Pay Day</t>
  </si>
  <si>
    <t xml:space="preserve">Years from </t>
  </si>
  <si>
    <t>Days</t>
  </si>
  <si>
    <t>From</t>
  </si>
  <si>
    <t>Interval</t>
  </si>
  <si>
    <t>Accrued</t>
  </si>
  <si>
    <t>Interest</t>
  </si>
  <si>
    <t>(Pf)</t>
  </si>
  <si>
    <t>Model</t>
  </si>
  <si>
    <t>(Pm)</t>
  </si>
  <si>
    <t>|Pf-Pm|</t>
  </si>
  <si>
    <t>Spot</t>
  </si>
  <si>
    <t>Factor</t>
  </si>
  <si>
    <t>Years</t>
  </si>
  <si>
    <t>to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</si>
</sst>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8" formatCode="0.0000%"/>
    <numFmt numFmtId="170" formatCode="[$-1009]mmm\ d\,\ yy;@"/>
    <numFmt numFmtId="171" formatCode="_-&quot;$&quot;* #,##0.000_-;\-&quot;$&quot;* #,##0.000_-;_-&quot;$&quot;* &quot;-&quot;??_-;_-@_-"/>
    <numFmt numFmtId="172" formatCode="_-* #,##0.0000_-;\-* #,##0.0000_-;_-* &quot;-&quot;??_-;_-@_-"/>
    <numFmt numFmtId="173" formatCode="0.0"/>
    <numFmt numFmtId="176" formatCode="mmm\ dd\,\ yy"/>
    <numFmt numFmtId="179" formatCode="_-&quot;$&quot;* #,##0.000000_-;\-&quot;$&quot;* #,##0.000000_-;_-&quot;$&quot;* &quot;-&quot;??_-;_-@_-"/>
  </numFmts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vertAlign val="superscript"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5" fillId="0" borderId="0"/>
    <xf numFmtId="0" fontId="6" fillId="0" borderId="0"/>
    <xf numFmtId="0" fontId="6" fillId="0" borderId="0"/>
    <xf numFmtId="0" fontId="4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3" fillId="0" borderId="0"/>
    <xf numFmtId="0" fontId="2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50">
    <xf numFmtId="0" fontId="0" fillId="0" borderId="0" xfId="0"/>
    <xf numFmtId="0" fontId="1" fillId="0" borderId="0" xfId="12"/>
    <xf numFmtId="176" fontId="1" fillId="0" borderId="0" xfId="12" applyNumberFormat="1"/>
    <xf numFmtId="10" fontId="0" fillId="0" borderId="0" xfId="13" applyNumberFormat="1" applyFont="1"/>
    <xf numFmtId="10" fontId="0" fillId="4" borderId="0" xfId="13" applyNumberFormat="1" applyFont="1" applyFill="1"/>
    <xf numFmtId="16" fontId="1" fillId="0" borderId="0" xfId="12" applyNumberFormat="1"/>
    <xf numFmtId="0" fontId="1" fillId="0" borderId="0" xfId="12" applyAlignment="1">
      <alignment horizontal="center"/>
    </xf>
    <xf numFmtId="0" fontId="1" fillId="0" borderId="0" xfId="1" applyFont="1"/>
    <xf numFmtId="0" fontId="8" fillId="0" borderId="0" xfId="1" applyFont="1" applyAlignment="1">
      <alignment horizontal="right" wrapText="1"/>
    </xf>
    <xf numFmtId="0" fontId="8" fillId="0" borderId="0" xfId="1" applyFont="1" applyAlignment="1">
      <alignment wrapText="1"/>
    </xf>
    <xf numFmtId="0" fontId="8" fillId="0" borderId="0" xfId="1" applyFont="1" applyAlignment="1">
      <alignment wrapText="1"/>
    </xf>
    <xf numFmtId="170" fontId="8" fillId="0" borderId="0" xfId="1" applyNumberFormat="1" applyFont="1" applyAlignment="1">
      <alignment horizontal="right" wrapText="1"/>
    </xf>
    <xf numFmtId="6" fontId="8" fillId="0" borderId="0" xfId="1" applyNumberFormat="1" applyFont="1" applyAlignment="1">
      <alignment horizontal="right" wrapText="1"/>
    </xf>
    <xf numFmtId="0" fontId="9" fillId="0" borderId="0" xfId="1" applyFont="1" applyAlignment="1">
      <alignment horizontal="right" wrapText="1"/>
    </xf>
    <xf numFmtId="170" fontId="1" fillId="0" borderId="2" xfId="7" applyNumberFormat="1" applyFont="1" applyBorder="1"/>
    <xf numFmtId="172" fontId="10" fillId="0" borderId="2" xfId="10" applyNumberFormat="1" applyFont="1" applyBorder="1" applyAlignment="1">
      <alignment horizontal="right" wrapText="1"/>
    </xf>
    <xf numFmtId="0" fontId="8" fillId="0" borderId="2" xfId="1" applyFont="1" applyBorder="1" applyAlignment="1">
      <alignment horizontal="right" wrapText="1"/>
    </xf>
    <xf numFmtId="10" fontId="10" fillId="0" borderId="0" xfId="9" applyNumberFormat="1" applyFont="1" applyBorder="1" applyAlignment="1">
      <alignment horizontal="right" wrapText="1"/>
    </xf>
    <xf numFmtId="170" fontId="1" fillId="0" borderId="0" xfId="7" applyNumberFormat="1" applyFont="1" applyBorder="1"/>
    <xf numFmtId="172" fontId="10" fillId="0" borderId="0" xfId="10" applyNumberFormat="1" applyFont="1" applyBorder="1" applyAlignment="1">
      <alignment horizontal="right" wrapText="1"/>
    </xf>
    <xf numFmtId="0" fontId="8" fillId="0" borderId="0" xfId="1" applyFont="1" applyBorder="1" applyAlignment="1">
      <alignment horizontal="right" wrapText="1"/>
    </xf>
    <xf numFmtId="8" fontId="8" fillId="0" borderId="0" xfId="1" applyNumberFormat="1" applyFont="1" applyBorder="1" applyAlignment="1">
      <alignment horizontal="right" wrapText="1"/>
    </xf>
    <xf numFmtId="44" fontId="8" fillId="0" borderId="0" xfId="11" applyFont="1" applyBorder="1" applyAlignment="1">
      <alignment wrapText="1"/>
    </xf>
    <xf numFmtId="44" fontId="8" fillId="0" borderId="0" xfId="11" applyNumberFormat="1" applyFont="1" applyBorder="1" applyAlignment="1">
      <alignment horizontal="right" wrapText="1"/>
    </xf>
    <xf numFmtId="10" fontId="10" fillId="0" borderId="5" xfId="9" applyNumberFormat="1" applyFont="1" applyBorder="1" applyAlignment="1">
      <alignment horizontal="right" wrapText="1"/>
    </xf>
    <xf numFmtId="170" fontId="1" fillId="0" borderId="5" xfId="7" applyNumberFormat="1" applyFont="1" applyBorder="1"/>
    <xf numFmtId="172" fontId="10" fillId="0" borderId="5" xfId="10" applyNumberFormat="1" applyFont="1" applyBorder="1" applyAlignment="1">
      <alignment horizontal="right" wrapText="1"/>
    </xf>
    <xf numFmtId="0" fontId="8" fillId="0" borderId="5" xfId="1" applyFont="1" applyBorder="1" applyAlignment="1">
      <alignment horizontal="right" wrapText="1"/>
    </xf>
    <xf numFmtId="8" fontId="8" fillId="0" borderId="5" xfId="1" applyNumberFormat="1" applyFont="1" applyBorder="1" applyAlignment="1">
      <alignment horizontal="right" wrapText="1"/>
    </xf>
    <xf numFmtId="44" fontId="8" fillId="0" borderId="5" xfId="11" applyNumberFormat="1" applyFont="1" applyBorder="1" applyAlignment="1">
      <alignment horizontal="right" wrapText="1"/>
    </xf>
    <xf numFmtId="44" fontId="8" fillId="0" borderId="5" xfId="11" applyFont="1" applyBorder="1" applyAlignment="1">
      <alignment wrapText="1"/>
    </xf>
    <xf numFmtId="0" fontId="1" fillId="0" borderId="0" xfId="1" applyFont="1" applyBorder="1" applyAlignment="1">
      <alignment horizontal="right"/>
    </xf>
    <xf numFmtId="171" fontId="1" fillId="0" borderId="0" xfId="1" applyNumberFormat="1" applyFont="1"/>
    <xf numFmtId="0" fontId="8" fillId="0" borderId="0" xfId="0" applyFont="1"/>
    <xf numFmtId="0" fontId="8" fillId="0" borderId="0" xfId="0" applyFont="1" applyAlignment="1">
      <alignment horizontal="right"/>
    </xf>
    <xf numFmtId="0" fontId="8" fillId="0" borderId="2" xfId="0" applyFont="1" applyBorder="1"/>
    <xf numFmtId="10" fontId="8" fillId="0" borderId="2" xfId="6" applyNumberFormat="1" applyFont="1" applyBorder="1"/>
    <xf numFmtId="0" fontId="8" fillId="0" borderId="0" xfId="0" applyFont="1" applyBorder="1"/>
    <xf numFmtId="10" fontId="8" fillId="0" borderId="0" xfId="6" applyNumberFormat="1" applyFont="1" applyBorder="1"/>
    <xf numFmtId="171" fontId="8" fillId="0" borderId="0" xfId="11" applyNumberFormat="1" applyFont="1" applyBorder="1"/>
    <xf numFmtId="0" fontId="8" fillId="0" borderId="5" xfId="0" applyFont="1" applyBorder="1"/>
    <xf numFmtId="171" fontId="8" fillId="0" borderId="5" xfId="11" applyNumberFormat="1" applyFont="1" applyBorder="1"/>
    <xf numFmtId="0" fontId="8" fillId="0" borderId="2" xfId="2" applyFont="1" applyBorder="1" applyAlignment="1">
      <alignment horizontal="center" wrapText="1"/>
    </xf>
    <xf numFmtId="0" fontId="8" fillId="0" borderId="1" xfId="2" applyFont="1" applyBorder="1" applyAlignment="1">
      <alignment horizontal="center" wrapText="1"/>
    </xf>
    <xf numFmtId="0" fontId="8" fillId="0" borderId="5" xfId="2" applyFont="1" applyBorder="1" applyAlignment="1">
      <alignment horizontal="center" wrapText="1"/>
    </xf>
    <xf numFmtId="0" fontId="8" fillId="0" borderId="5" xfId="2" applyFont="1" applyBorder="1" applyAlignment="1">
      <alignment horizontal="center"/>
    </xf>
    <xf numFmtId="0" fontId="8" fillId="0" borderId="4" xfId="2" applyFont="1" applyBorder="1" applyAlignment="1">
      <alignment horizontal="center" wrapText="1"/>
    </xf>
    <xf numFmtId="172" fontId="8" fillId="0" borderId="0" xfId="5" applyNumberFormat="1" applyFont="1"/>
    <xf numFmtId="2" fontId="8" fillId="3" borderId="2" xfId="5" applyNumberFormat="1" applyFont="1" applyFill="1" applyBorder="1" applyAlignment="1">
      <alignment horizontal="center"/>
    </xf>
    <xf numFmtId="168" fontId="8" fillId="3" borderId="2" xfId="6" applyNumberFormat="1" applyFont="1" applyFill="1" applyBorder="1" applyAlignment="1">
      <alignment horizontal="center"/>
    </xf>
    <xf numFmtId="173" fontId="8" fillId="0" borderId="1" xfId="5" applyNumberFormat="1" applyFont="1" applyBorder="1" applyAlignment="1">
      <alignment horizontal="center"/>
    </xf>
    <xf numFmtId="168" fontId="8" fillId="0" borderId="2" xfId="6" applyNumberFormat="1" applyFont="1" applyBorder="1" applyAlignment="1">
      <alignment horizontal="center"/>
    </xf>
    <xf numFmtId="2" fontId="8" fillId="2" borderId="0" xfId="5" applyNumberFormat="1" applyFont="1" applyFill="1" applyBorder="1" applyAlignment="1">
      <alignment horizontal="center"/>
    </xf>
    <xf numFmtId="168" fontId="8" fillId="2" borderId="0" xfId="6" applyNumberFormat="1" applyFont="1" applyFill="1" applyBorder="1" applyAlignment="1">
      <alignment horizontal="center"/>
    </xf>
    <xf numFmtId="173" fontId="8" fillId="0" borderId="3" xfId="5" applyNumberFormat="1" applyFont="1" applyBorder="1" applyAlignment="1">
      <alignment horizontal="center"/>
    </xf>
    <xf numFmtId="168" fontId="8" fillId="0" borderId="0" xfId="6" applyNumberFormat="1" applyFont="1" applyBorder="1" applyAlignment="1">
      <alignment horizontal="center"/>
    </xf>
    <xf numFmtId="173" fontId="8" fillId="0" borderId="0" xfId="5" applyNumberFormat="1" applyFont="1" applyBorder="1" applyAlignment="1">
      <alignment horizontal="center"/>
    </xf>
    <xf numFmtId="2" fontId="8" fillId="2" borderId="3" xfId="5" applyNumberFormat="1" applyFont="1" applyFill="1" applyBorder="1" applyAlignment="1">
      <alignment horizontal="center"/>
    </xf>
    <xf numFmtId="173" fontId="8" fillId="0" borderId="5" xfId="5" applyNumberFormat="1" applyFont="1" applyBorder="1" applyAlignment="1">
      <alignment horizontal="center"/>
    </xf>
    <xf numFmtId="168" fontId="8" fillId="0" borderId="5" xfId="6" applyNumberFormat="1" applyFont="1" applyBorder="1" applyAlignment="1">
      <alignment horizontal="center"/>
    </xf>
    <xf numFmtId="173" fontId="8" fillId="0" borderId="4" xfId="5" applyNumberFormat="1" applyFont="1" applyBorder="1" applyAlignment="1">
      <alignment horizontal="center"/>
    </xf>
    <xf numFmtId="0" fontId="8" fillId="5" borderId="2" xfId="1" applyFont="1" applyFill="1" applyBorder="1" applyAlignment="1">
      <alignment horizontal="right" wrapText="1"/>
    </xf>
    <xf numFmtId="8" fontId="8" fillId="5" borderId="2" xfId="1" applyNumberFormat="1" applyFont="1" applyFill="1" applyBorder="1" applyAlignment="1">
      <alignment horizontal="right" wrapText="1"/>
    </xf>
    <xf numFmtId="179" fontId="8" fillId="5" borderId="2" xfId="11" applyNumberFormat="1" applyFont="1" applyFill="1" applyBorder="1" applyAlignment="1">
      <alignment horizontal="right" wrapText="1"/>
    </xf>
    <xf numFmtId="44" fontId="8" fillId="5" borderId="2" xfId="11" applyFont="1" applyFill="1" applyBorder="1" applyAlignment="1">
      <alignment wrapText="1"/>
    </xf>
    <xf numFmtId="171" fontId="8" fillId="5" borderId="2" xfId="11" applyNumberFormat="1" applyFont="1" applyFill="1" applyBorder="1"/>
    <xf numFmtId="0" fontId="8" fillId="5" borderId="0" xfId="1" applyFont="1" applyFill="1" applyBorder="1" applyAlignment="1">
      <alignment horizontal="right" wrapText="1"/>
    </xf>
    <xf numFmtId="8" fontId="8" fillId="5" borderId="0" xfId="1" applyNumberFormat="1" applyFont="1" applyFill="1" applyBorder="1" applyAlignment="1">
      <alignment horizontal="right" wrapText="1"/>
    </xf>
    <xf numFmtId="179" fontId="8" fillId="5" borderId="0" xfId="11" applyNumberFormat="1" applyFont="1" applyFill="1" applyBorder="1" applyAlignment="1">
      <alignment horizontal="right" wrapText="1"/>
    </xf>
    <xf numFmtId="44" fontId="8" fillId="5" borderId="0" xfId="11" applyFont="1" applyFill="1" applyBorder="1" applyAlignment="1">
      <alignment wrapText="1"/>
    </xf>
    <xf numFmtId="171" fontId="8" fillId="5" borderId="0" xfId="11" applyNumberFormat="1" applyFont="1" applyFill="1" applyBorder="1"/>
    <xf numFmtId="10" fontId="10" fillId="5" borderId="2" xfId="9" applyNumberFormat="1" applyFont="1" applyFill="1" applyBorder="1" applyAlignment="1">
      <alignment horizontal="right" wrapText="1"/>
    </xf>
    <xf numFmtId="170" fontId="1" fillId="5" borderId="2" xfId="7" applyNumberFormat="1" applyFont="1" applyFill="1" applyBorder="1"/>
    <xf numFmtId="10" fontId="10" fillId="5" borderId="0" xfId="9" applyNumberFormat="1" applyFont="1" applyFill="1" applyBorder="1" applyAlignment="1">
      <alignment horizontal="right" wrapText="1"/>
    </xf>
    <xf numFmtId="170" fontId="1" fillId="5" borderId="0" xfId="7" applyNumberFormat="1" applyFont="1" applyFill="1" applyBorder="1"/>
    <xf numFmtId="2" fontId="8" fillId="0" borderId="2" xfId="2" applyNumberFormat="1" applyFont="1" applyBorder="1" applyAlignment="1">
      <alignment horizontal="center"/>
    </xf>
    <xf numFmtId="2" fontId="8" fillId="0" borderId="2" xfId="2" applyNumberFormat="1" applyFont="1" applyBorder="1" applyAlignment="1">
      <alignment horizontal="center" wrapText="1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1" fillId="0" borderId="2" xfId="1" applyFont="1" applyBorder="1" applyAlignment="1">
      <alignment horizontal="left"/>
    </xf>
    <xf numFmtId="0" fontId="13" fillId="0" borderId="0" xfId="1" applyFont="1" applyAlignment="1">
      <alignment horizontal="right" wrapText="1"/>
    </xf>
    <xf numFmtId="0" fontId="8" fillId="5" borderId="2" xfId="0" applyFont="1" applyFill="1" applyBorder="1"/>
    <xf numFmtId="0" fontId="8" fillId="5" borderId="0" xfId="0" applyFont="1" applyFill="1" applyBorder="1"/>
    <xf numFmtId="0" fontId="8" fillId="5" borderId="5" xfId="0" applyFont="1" applyFill="1" applyBorder="1"/>
    <xf numFmtId="172" fontId="10" fillId="5" borderId="2" xfId="10" applyNumberFormat="1" applyFont="1" applyFill="1" applyBorder="1" applyAlignment="1">
      <alignment horizontal="right" wrapText="1"/>
    </xf>
    <xf numFmtId="172" fontId="10" fillId="5" borderId="0" xfId="10" applyNumberFormat="1" applyFont="1" applyFill="1" applyBorder="1" applyAlignment="1">
      <alignment horizontal="right" wrapText="1"/>
    </xf>
    <xf numFmtId="172" fontId="10" fillId="6" borderId="0" xfId="10" applyNumberFormat="1" applyFont="1" applyFill="1" applyBorder="1" applyAlignment="1">
      <alignment horizontal="right" wrapText="1"/>
    </xf>
    <xf numFmtId="10" fontId="10" fillId="5" borderId="5" xfId="9" applyNumberFormat="1" applyFont="1" applyFill="1" applyBorder="1" applyAlignment="1">
      <alignment horizontal="right" wrapText="1"/>
    </xf>
    <xf numFmtId="170" fontId="1" fillId="5" borderId="5" xfId="7" applyNumberFormat="1" applyFont="1" applyFill="1" applyBorder="1"/>
    <xf numFmtId="8" fontId="8" fillId="0" borderId="0" xfId="11" applyNumberFormat="1" applyFont="1" applyBorder="1" applyAlignment="1">
      <alignment horizontal="right" wrapText="1"/>
    </xf>
    <xf numFmtId="0" fontId="1" fillId="0" borderId="5" xfId="1" applyFont="1" applyBorder="1" applyAlignment="1">
      <alignment wrapText="1"/>
    </xf>
    <xf numFmtId="0" fontId="10" fillId="0" borderId="5" xfId="1" applyFont="1" applyBorder="1" applyAlignment="1">
      <alignment horizontal="right" wrapText="1"/>
    </xf>
    <xf numFmtId="0" fontId="10" fillId="0" borderId="5" xfId="1" applyFont="1" applyBorder="1" applyAlignment="1">
      <alignment horizontal="center" wrapText="1"/>
    </xf>
    <xf numFmtId="170" fontId="13" fillId="0" borderId="0" xfId="1" applyNumberFormat="1" applyFont="1" applyAlignment="1">
      <alignment horizontal="left" wrapText="1"/>
    </xf>
    <xf numFmtId="0" fontId="1" fillId="0" borderId="2" xfId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0" xfId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70" fontId="8" fillId="0" borderId="2" xfId="1" applyNumberFormat="1" applyFont="1" applyBorder="1" applyAlignment="1">
      <alignment horizontal="center" wrapText="1"/>
    </xf>
    <xf numFmtId="0" fontId="8" fillId="0" borderId="2" xfId="1" applyFont="1" applyBorder="1" applyAlignment="1">
      <alignment horizontal="center" wrapText="1"/>
    </xf>
    <xf numFmtId="170" fontId="8" fillId="0" borderId="0" xfId="1" applyNumberFormat="1" applyFont="1" applyBorder="1" applyAlignment="1">
      <alignment horizontal="center" wrapText="1"/>
    </xf>
    <xf numFmtId="0" fontId="8" fillId="0" borderId="0" xfId="1" applyFont="1" applyBorder="1" applyAlignment="1">
      <alignment horizontal="center" wrapText="1"/>
    </xf>
    <xf numFmtId="0" fontId="13" fillId="0" borderId="6" xfId="1" applyFont="1" applyBorder="1" applyAlignment="1">
      <alignment horizontal="right" wrapText="1"/>
    </xf>
    <xf numFmtId="0" fontId="13" fillId="0" borderId="7" xfId="1" applyFont="1" applyBorder="1" applyAlignment="1">
      <alignment horizontal="right" wrapText="1"/>
    </xf>
    <xf numFmtId="0" fontId="8" fillId="0" borderId="8" xfId="1" applyFont="1" applyBorder="1" applyAlignment="1">
      <alignment horizontal="center" wrapText="1"/>
    </xf>
    <xf numFmtId="0" fontId="8" fillId="0" borderId="9" xfId="1" applyFont="1" applyBorder="1" applyAlignment="1">
      <alignment horizontal="center" wrapText="1"/>
    </xf>
    <xf numFmtId="0" fontId="10" fillId="0" borderId="10" xfId="1" applyFont="1" applyBorder="1" applyAlignment="1">
      <alignment horizontal="right" wrapText="1"/>
    </xf>
    <xf numFmtId="0" fontId="10" fillId="0" borderId="11" xfId="1" applyFont="1" applyBorder="1" applyAlignment="1">
      <alignment horizontal="center" wrapText="1"/>
    </xf>
    <xf numFmtId="10" fontId="8" fillId="6" borderId="6" xfId="6" applyNumberFormat="1" applyFont="1" applyFill="1" applyBorder="1"/>
    <xf numFmtId="8" fontId="10" fillId="5" borderId="7" xfId="1" applyNumberFormat="1" applyFont="1" applyFill="1" applyBorder="1" applyAlignment="1">
      <alignment horizontal="right" wrapText="1"/>
    </xf>
    <xf numFmtId="10" fontId="8" fillId="6" borderId="8" xfId="6" applyNumberFormat="1" applyFont="1" applyFill="1" applyBorder="1"/>
    <xf numFmtId="8" fontId="10" fillId="5" borderId="9" xfId="1" applyNumberFormat="1" applyFont="1" applyFill="1" applyBorder="1" applyAlignment="1">
      <alignment horizontal="right" wrapText="1"/>
    </xf>
    <xf numFmtId="10" fontId="10" fillId="6" borderId="8" xfId="6" applyNumberFormat="1" applyFont="1" applyFill="1" applyBorder="1" applyAlignment="1">
      <alignment horizontal="right" wrapText="1"/>
    </xf>
    <xf numFmtId="8" fontId="10" fillId="0" borderId="9" xfId="1" applyNumberFormat="1" applyFont="1" applyBorder="1" applyAlignment="1">
      <alignment horizontal="right" wrapText="1"/>
    </xf>
    <xf numFmtId="10" fontId="10" fillId="6" borderId="10" xfId="6" applyNumberFormat="1" applyFont="1" applyFill="1" applyBorder="1" applyAlignment="1">
      <alignment horizontal="right" wrapText="1"/>
    </xf>
    <xf numFmtId="8" fontId="10" fillId="0" borderId="11" xfId="1" applyNumberFormat="1" applyFont="1" applyBorder="1" applyAlignment="1">
      <alignment horizontal="right" wrapText="1"/>
    </xf>
    <xf numFmtId="10" fontId="8" fillId="0" borderId="6" xfId="6" applyNumberFormat="1" applyFont="1" applyBorder="1"/>
    <xf numFmtId="10" fontId="8" fillId="0" borderId="8" xfId="6" applyNumberFormat="1" applyFont="1" applyBorder="1"/>
    <xf numFmtId="10" fontId="10" fillId="0" borderId="8" xfId="6" applyNumberFormat="1" applyFont="1" applyBorder="1" applyAlignment="1">
      <alignment horizontal="right" wrapText="1"/>
    </xf>
    <xf numFmtId="10" fontId="10" fillId="0" borderId="10" xfId="6" applyNumberFormat="1" applyFont="1" applyBorder="1" applyAlignment="1">
      <alignment horizontal="right" wrapText="1"/>
    </xf>
    <xf numFmtId="15" fontId="8" fillId="0" borderId="2" xfId="0" applyNumberFormat="1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8" fillId="0" borderId="5" xfId="0" applyFont="1" applyBorder="1" applyAlignment="1">
      <alignment horizontal="center"/>
    </xf>
    <xf numFmtId="15" fontId="8" fillId="0" borderId="6" xfId="0" applyNumberFormat="1" applyFont="1" applyBorder="1" applyAlignment="1">
      <alignment horizontal="center" wrapText="1"/>
    </xf>
    <xf numFmtId="15" fontId="8" fillId="0" borderId="7" xfId="0" applyNumberFormat="1" applyFont="1" applyBorder="1" applyAlignment="1">
      <alignment horizontal="center" wrapText="1"/>
    </xf>
    <xf numFmtId="0" fontId="8" fillId="0" borderId="8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10" fontId="1" fillId="0" borderId="0" xfId="6" applyNumberFormat="1" applyFont="1"/>
    <xf numFmtId="10" fontId="1" fillId="0" borderId="2" xfId="6" applyNumberFormat="1" applyFont="1" applyBorder="1" applyAlignment="1">
      <alignment horizontal="center"/>
    </xf>
    <xf numFmtId="10" fontId="1" fillId="0" borderId="0" xfId="6" applyNumberFormat="1" applyFont="1" applyBorder="1" applyAlignment="1">
      <alignment horizontal="center"/>
    </xf>
    <xf numFmtId="10" fontId="10" fillId="0" borderId="5" xfId="6" applyNumberFormat="1" applyFont="1" applyBorder="1" applyAlignment="1">
      <alignment horizontal="center" wrapText="1"/>
    </xf>
    <xf numFmtId="10" fontId="8" fillId="0" borderId="5" xfId="6" applyNumberFormat="1" applyFont="1" applyBorder="1"/>
    <xf numFmtId="10" fontId="8" fillId="0" borderId="0" xfId="6" applyNumberFormat="1" applyFont="1"/>
    <xf numFmtId="172" fontId="8" fillId="0" borderId="2" xfId="5" applyNumberFormat="1" applyFont="1" applyBorder="1" applyAlignment="1">
      <alignment horizontal="center"/>
    </xf>
    <xf numFmtId="172" fontId="8" fillId="0" borderId="0" xfId="5" applyNumberFormat="1" applyFont="1" applyBorder="1" applyAlignment="1">
      <alignment horizontal="center"/>
    </xf>
    <xf numFmtId="172" fontId="10" fillId="0" borderId="5" xfId="5" applyNumberFormat="1" applyFont="1" applyBorder="1" applyAlignment="1">
      <alignment horizontal="center" wrapText="1"/>
    </xf>
    <xf numFmtId="172" fontId="8" fillId="0" borderId="2" xfId="5" applyNumberFormat="1" applyFont="1" applyBorder="1"/>
    <xf numFmtId="172" fontId="8" fillId="0" borderId="0" xfId="5" applyNumberFormat="1" applyFont="1" applyBorder="1"/>
    <xf numFmtId="172" fontId="8" fillId="0" borderId="5" xfId="5" applyNumberFormat="1" applyFont="1" applyBorder="1"/>
    <xf numFmtId="172" fontId="1" fillId="0" borderId="0" xfId="5" applyNumberFormat="1" applyFont="1"/>
    <xf numFmtId="172" fontId="8" fillId="0" borderId="6" xfId="5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0" fontId="8" fillId="0" borderId="2" xfId="6" applyNumberFormat="1" applyFont="1" applyBorder="1" applyAlignment="1">
      <alignment horizontal="center"/>
    </xf>
    <xf numFmtId="172" fontId="8" fillId="0" borderId="8" xfId="5" applyNumberFormat="1" applyFont="1" applyBorder="1" applyAlignment="1">
      <alignment horizontal="center"/>
    </xf>
    <xf numFmtId="10" fontId="8" fillId="0" borderId="0" xfId="6" applyNumberFormat="1" applyFont="1" applyBorder="1" applyAlignment="1">
      <alignment horizontal="center"/>
    </xf>
    <xf numFmtId="172" fontId="8" fillId="0" borderId="10" xfId="5" applyNumberFormat="1" applyFont="1" applyBorder="1" applyAlignment="1">
      <alignment horizontal="center"/>
    </xf>
    <xf numFmtId="10" fontId="8" fillId="0" borderId="5" xfId="6" applyNumberFormat="1" applyFont="1" applyBorder="1" applyAlignment="1">
      <alignment horizontal="center"/>
    </xf>
    <xf numFmtId="172" fontId="8" fillId="0" borderId="5" xfId="5" applyNumberFormat="1" applyFont="1" applyBorder="1" applyAlignment="1">
      <alignment horizontal="center"/>
    </xf>
  </cellXfs>
  <cellStyles count="14">
    <cellStyle name="Comma" xfId="5" builtinId="3"/>
    <cellStyle name="Comma 2" xfId="10" xr:uid="{AB5A7FBB-F372-4565-A6ED-080FD0EA77C8}"/>
    <cellStyle name="Currency 2" xfId="11" xr:uid="{D6225BE8-A18F-4766-8BFA-3C99699D797F}"/>
    <cellStyle name="Normal" xfId="0" builtinId="0"/>
    <cellStyle name="Normal 2" xfId="1" xr:uid="{00000000-0005-0000-0000-000001000000}"/>
    <cellStyle name="Normal 3" xfId="2" xr:uid="{00000000-0005-0000-0000-000002000000}"/>
    <cellStyle name="Normal 3 2" xfId="3" xr:uid="{00000000-0005-0000-0000-000003000000}"/>
    <cellStyle name="Normal 4" xfId="7" xr:uid="{345E324F-2A1F-4C83-BBCF-D267671CE1FC}"/>
    <cellStyle name="Normal 5" xfId="4" xr:uid="{0B376528-1DA7-48C9-A087-17761E079C00}"/>
    <cellStyle name="Normal 6" xfId="8" xr:uid="{CBA700CD-30A5-468A-9CEF-C18D2C11008B}"/>
    <cellStyle name="Normal 7" xfId="12" xr:uid="{82EA8AA1-C42A-4273-997C-05E19FF26DF0}"/>
    <cellStyle name="Percent" xfId="6" builtinId="5"/>
    <cellStyle name="Percent 2" xfId="9" xr:uid="{350DF358-C420-47E0-ABAD-E31451E11DA9}"/>
    <cellStyle name="Percent 3" xfId="13" xr:uid="{7A282F14-836A-487F-AE91-939970D0100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415064396020266E-2"/>
          <c:y val="2.2395587855687075E-2"/>
          <c:w val="0.85503067203808836"/>
          <c:h val="0.85698929840535576"/>
        </c:manualLayout>
      </c:layout>
      <c:scatterChart>
        <c:scatterStyle val="lineMarker"/>
        <c:varyColors val="0"/>
        <c:ser>
          <c:idx val="0"/>
          <c:order val="0"/>
          <c:tx>
            <c:v>Feb Data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'discount-factors'!$D$7:$D$16</c:f>
              <c:numCache>
                <c:formatCode>_-* #,##0.0000_-;\-* #,##0.0000_-;_-* "-"??_-;_-@_-</c:formatCode>
                <c:ptCount val="10"/>
                <c:pt idx="0">
                  <c:v>8.3333333333333329E-2</c:v>
                </c:pt>
                <c:pt idx="1">
                  <c:v>0.25</c:v>
                </c:pt>
                <c:pt idx="2">
                  <c:v>0.5</c:v>
                </c:pt>
                <c:pt idx="3">
                  <c:v>1</c:v>
                </c:pt>
                <c:pt idx="4">
                  <c:v>1.9342465753424658</c:v>
                </c:pt>
                <c:pt idx="5">
                  <c:v>3.515068493150685</c:v>
                </c:pt>
                <c:pt idx="6">
                  <c:v>5.015068493150685</c:v>
                </c:pt>
                <c:pt idx="7">
                  <c:v>5.2643835616438359</c:v>
                </c:pt>
                <c:pt idx="8">
                  <c:v>6.2643835616438359</c:v>
                </c:pt>
                <c:pt idx="9">
                  <c:v>7.2643835616438359</c:v>
                </c:pt>
              </c:numCache>
            </c:numRef>
          </c:xVal>
          <c:yVal>
            <c:numRef>
              <c:f>'discount-factors'!$M$7:$M$16</c:f>
              <c:numCache>
                <c:formatCode>0.00%</c:formatCode>
                <c:ptCount val="10"/>
                <c:pt idx="0">
                  <c:v>1.6299999999999999E-2</c:v>
                </c:pt>
                <c:pt idx="1">
                  <c:v>1.61E-2</c:v>
                </c:pt>
                <c:pt idx="2">
                  <c:v>1.5900000000000001E-2</c:v>
                </c:pt>
                <c:pt idx="3">
                  <c:v>1.5100000000000001E-2</c:v>
                </c:pt>
                <c:pt idx="4">
                  <c:v>1.3485169998452938E-2</c:v>
                </c:pt>
                <c:pt idx="5">
                  <c:v>1.2773678443031043E-2</c:v>
                </c:pt>
                <c:pt idx="6">
                  <c:v>1.2174844399412922E-2</c:v>
                </c:pt>
                <c:pt idx="7">
                  <c:v>1.2050654352857995E-2</c:v>
                </c:pt>
                <c:pt idx="8">
                  <c:v>1.207255156146683E-2</c:v>
                </c:pt>
                <c:pt idx="9">
                  <c:v>1.229057816159782E-2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A9-4094-A005-E78DFDC27A85}"/>
            </c:ext>
          </c:extLst>
        </c:ser>
        <c:ser>
          <c:idx val="1"/>
          <c:order val="1"/>
          <c:tx>
            <c:v>Mar Data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triangle"/>
            <c:size val="4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'discount-factors'!$D$22:$D$31</c:f>
              <c:numCache>
                <c:formatCode>_-* #,##0.0000_-;\-* #,##0.0000_-;_-* "-"??_-;_-@_-</c:formatCode>
                <c:ptCount val="10"/>
                <c:pt idx="0">
                  <c:v>8.3333333333333329E-2</c:v>
                </c:pt>
                <c:pt idx="1">
                  <c:v>0.25</c:v>
                </c:pt>
                <c:pt idx="2">
                  <c:v>0.5</c:v>
                </c:pt>
                <c:pt idx="3">
                  <c:v>1</c:v>
                </c:pt>
                <c:pt idx="4">
                  <c:v>1.9150684931506849</c:v>
                </c:pt>
                <c:pt idx="5">
                  <c:v>3.4945205479452053</c:v>
                </c:pt>
                <c:pt idx="6">
                  <c:v>4.9945205479452053</c:v>
                </c:pt>
                <c:pt idx="7">
                  <c:v>5.2452054794520544</c:v>
                </c:pt>
                <c:pt idx="8">
                  <c:v>6.2452054794520544</c:v>
                </c:pt>
                <c:pt idx="9">
                  <c:v>7.2452054794520544</c:v>
                </c:pt>
              </c:numCache>
            </c:numRef>
          </c:xVal>
          <c:yVal>
            <c:numRef>
              <c:f>'discount-factors'!$M$22:$M$31</c:f>
              <c:numCache>
                <c:formatCode>0.00%</c:formatCode>
                <c:ptCount val="10"/>
                <c:pt idx="0">
                  <c:v>1.34E-2</c:v>
                </c:pt>
                <c:pt idx="1">
                  <c:v>1.24E-2</c:v>
                </c:pt>
                <c:pt idx="2">
                  <c:v>1.23E-2</c:v>
                </c:pt>
                <c:pt idx="3">
                  <c:v>1.175E-2</c:v>
                </c:pt>
                <c:pt idx="4">
                  <c:v>9.7828706040753947E-3</c:v>
                </c:pt>
                <c:pt idx="5">
                  <c:v>9.2767374819117954E-3</c:v>
                </c:pt>
                <c:pt idx="6">
                  <c:v>8.8808206254112707E-3</c:v>
                </c:pt>
                <c:pt idx="7">
                  <c:v>8.8665950239326542E-3</c:v>
                </c:pt>
                <c:pt idx="8">
                  <c:v>8.9854283948909083E-3</c:v>
                </c:pt>
                <c:pt idx="9">
                  <c:v>9.5077503215640086E-3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A9-4094-A005-E78DFDC27A85}"/>
            </c:ext>
          </c:extLst>
        </c:ser>
        <c:ser>
          <c:idx val="2"/>
          <c:order val="2"/>
          <c:tx>
            <c:v>Feb Pay Days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tx1"/>
                </a:solidFill>
              </a:ln>
              <a:effectLst/>
            </c:spPr>
          </c:marker>
          <c:xVal>
            <c:numRef>
              <c:f>'discount-factors'!$R$7:$R$21</c:f>
              <c:numCache>
                <c:formatCode>_-* #,##0.0000_-;\-* #,##0.0000_-;_-* "-"??_-;_-@_-</c:formatCode>
                <c:ptCount val="15"/>
                <c:pt idx="0">
                  <c:v>0.4808219178082192</c:v>
                </c:pt>
                <c:pt idx="1">
                  <c:v>0.98082191780821915</c:v>
                </c:pt>
                <c:pt idx="2">
                  <c:v>1.4808219178082191</c:v>
                </c:pt>
                <c:pt idx="3">
                  <c:v>1.978082191780822</c:v>
                </c:pt>
                <c:pt idx="4">
                  <c:v>2.4808219178082194</c:v>
                </c:pt>
                <c:pt idx="5">
                  <c:v>2.978082191780822</c:v>
                </c:pt>
                <c:pt idx="6">
                  <c:v>3.4808219178082194</c:v>
                </c:pt>
                <c:pt idx="7">
                  <c:v>3.9753424657534246</c:v>
                </c:pt>
                <c:pt idx="8">
                  <c:v>4.4835616438356167</c:v>
                </c:pt>
                <c:pt idx="9">
                  <c:v>4.9808219178082194</c:v>
                </c:pt>
                <c:pt idx="10">
                  <c:v>5.4808219178082194</c:v>
                </c:pt>
                <c:pt idx="11">
                  <c:v>5.9808219178082194</c:v>
                </c:pt>
                <c:pt idx="12">
                  <c:v>6.4808219178082194</c:v>
                </c:pt>
                <c:pt idx="13">
                  <c:v>6.9808219178082194</c:v>
                </c:pt>
                <c:pt idx="14">
                  <c:v>7</c:v>
                </c:pt>
              </c:numCache>
            </c:numRef>
          </c:xVal>
          <c:yVal>
            <c:numRef>
              <c:f>'discount-factors'!$S$7:$S$21</c:f>
              <c:numCache>
                <c:formatCode>0.00%</c:formatCode>
                <c:ptCount val="15"/>
                <c:pt idx="0">
                  <c:v>1.5915342465753424E-2</c:v>
                </c:pt>
                <c:pt idx="1">
                  <c:v>1.5130684931506849E-2</c:v>
                </c:pt>
                <c:pt idx="2">
                  <c:v>1.4268907139966249E-2</c:v>
                </c:pt>
                <c:pt idx="3">
                  <c:v>1.3465440596569489E-2</c:v>
                </c:pt>
                <c:pt idx="4">
                  <c:v>1.3239169018718678E-2</c:v>
                </c:pt>
                <c:pt idx="5">
                  <c:v>1.3015363616103299E-2</c:v>
                </c:pt>
                <c:pt idx="6">
                  <c:v>1.2789092038252488E-2</c:v>
                </c:pt>
                <c:pt idx="7">
                  <c:v>1.2589926626907126E-2</c:v>
                </c:pt>
                <c:pt idx="8">
                  <c:v>1.2387033996603635E-2</c:v>
                </c:pt>
                <c:pt idx="9">
                  <c:v>1.2188516409541189E-2</c:v>
                </c:pt>
                <c:pt idx="10">
                  <c:v>1.2055393748693881E-2</c:v>
                </c:pt>
                <c:pt idx="11">
                  <c:v>1.2066342352998298E-2</c:v>
                </c:pt>
                <c:pt idx="12">
                  <c:v>1.2119740880399292E-2</c:v>
                </c:pt>
                <c:pt idx="13">
                  <c:v>1.2228754180464787E-2</c:v>
                </c:pt>
                <c:pt idx="14">
                  <c:v>1.2232935512522093E-2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A9-4094-A005-E78DFDC27A85}"/>
            </c:ext>
          </c:extLst>
        </c:ser>
        <c:ser>
          <c:idx val="3"/>
          <c:order val="3"/>
          <c:tx>
            <c:v>Mar Pay Days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noFill/>
              <a:ln w="19050">
                <a:solidFill>
                  <a:schemeClr val="bg1">
                    <a:lumMod val="50000"/>
                  </a:schemeClr>
                </a:solidFill>
              </a:ln>
              <a:effectLst/>
            </c:spPr>
          </c:marker>
          <c:xVal>
            <c:numRef>
              <c:f>'discount-factors'!$U$7:$U$21</c:f>
              <c:numCache>
                <c:formatCode>_-* #,##0.0000_-;\-* #,##0.0000_-;_-* "-"??_-;_-@_-</c:formatCode>
                <c:ptCount val="15"/>
                <c:pt idx="0">
                  <c:v>0.46164383561643835</c:v>
                </c:pt>
                <c:pt idx="1">
                  <c:v>0.9616438356164384</c:v>
                </c:pt>
                <c:pt idx="2">
                  <c:v>1.4616438356164383</c:v>
                </c:pt>
                <c:pt idx="3">
                  <c:v>1.9589041095890412</c:v>
                </c:pt>
                <c:pt idx="4">
                  <c:v>2.4616438356164383</c:v>
                </c:pt>
                <c:pt idx="5">
                  <c:v>2.9589041095890409</c:v>
                </c:pt>
                <c:pt idx="6">
                  <c:v>3.4616438356164383</c:v>
                </c:pt>
                <c:pt idx="7">
                  <c:v>3.956164383561644</c:v>
                </c:pt>
                <c:pt idx="8">
                  <c:v>4.4643835616438352</c:v>
                </c:pt>
                <c:pt idx="9">
                  <c:v>4.9616438356164387</c:v>
                </c:pt>
                <c:pt idx="10">
                  <c:v>5.4616438356164387</c:v>
                </c:pt>
                <c:pt idx="11">
                  <c:v>5.9616438356164387</c:v>
                </c:pt>
                <c:pt idx="12">
                  <c:v>6.4616438356164387</c:v>
                </c:pt>
                <c:pt idx="13">
                  <c:v>6.9616438356164387</c:v>
                </c:pt>
                <c:pt idx="14">
                  <c:v>6.9808219178082194</c:v>
                </c:pt>
              </c:numCache>
            </c:numRef>
          </c:xVal>
          <c:yVal>
            <c:numRef>
              <c:f>'discount-factors'!$V$7:$V$21</c:f>
              <c:numCache>
                <c:formatCode>0.00%</c:formatCode>
                <c:ptCount val="15"/>
                <c:pt idx="0">
                  <c:v>1.2315342465753425E-2</c:v>
                </c:pt>
                <c:pt idx="1">
                  <c:v>1.1792191780821918E-2</c:v>
                </c:pt>
                <c:pt idx="2">
                  <c:v>1.0757600888582946E-2</c:v>
                </c:pt>
                <c:pt idx="3">
                  <c:v>9.76882354431023E-3</c:v>
                </c:pt>
                <c:pt idx="4">
                  <c:v>9.6077213276284951E-3</c:v>
                </c:pt>
                <c:pt idx="5">
                  <c:v>9.4483749934174046E-3</c:v>
                </c:pt>
                <c:pt idx="6">
                  <c:v>9.2872727767356698E-3</c:v>
                </c:pt>
                <c:pt idx="7">
                  <c:v>9.1548890977650593E-3</c:v>
                </c:pt>
                <c:pt idx="8">
                  <c:v>9.0207474048320038E-3</c:v>
                </c:pt>
                <c:pt idx="9">
                  <c:v>8.8894982551427897E-3</c:v>
                </c:pt>
                <c:pt idx="10">
                  <c:v>8.8923151234003312E-3</c:v>
                </c:pt>
                <c:pt idx="11">
                  <c:v>8.9517318088794574E-3</c:v>
                </c:pt>
                <c:pt idx="12">
                  <c:v>9.0984788940886487E-3</c:v>
                </c:pt>
                <c:pt idx="13">
                  <c:v>9.359639857425198E-3</c:v>
                </c:pt>
                <c:pt idx="14">
                  <c:v>9.3696569902655038E-3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A9-4094-A005-E78DFDC27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812304"/>
        <c:axId val="1303704864"/>
      </c:scatterChart>
      <c:valAx>
        <c:axId val="200281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704864"/>
        <c:crosses val="autoZero"/>
        <c:crossBetween val="midCat"/>
      </c:valAx>
      <c:valAx>
        <c:axId val="13037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Spot</a:t>
                </a:r>
                <a:r>
                  <a:rPr lang="en-CA" baseline="0"/>
                  <a:t> Rate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812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716581212232188"/>
          <c:y val="0.76656448375368735"/>
          <c:w val="0.67553668436794234"/>
          <c:h val="6.8807798949232613E-2"/>
        </c:manualLayout>
      </c:layout>
      <c:overlay val="0"/>
      <c:spPr>
        <a:solidFill>
          <a:schemeClr val="bg1"/>
        </a:solidFill>
        <a:ln>
          <a:solidFill>
            <a:schemeClr val="bg1">
              <a:lumMod val="50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457200</xdr:colOff>
      <xdr:row>9</xdr:row>
      <xdr:rowOff>66675</xdr:rowOff>
    </xdr:from>
    <xdr:ext cx="4824911" cy="4367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58F3DCC-D258-4ABD-92CA-35240D368AD0}"/>
            </a:ext>
          </a:extLst>
        </xdr:cNvPr>
        <xdr:cNvSpPr txBox="1"/>
      </xdr:nvSpPr>
      <xdr:spPr>
        <a:xfrm>
          <a:off x="3819525" y="1695450"/>
          <a:ext cx="4824911" cy="43678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CA" sz="1100"/>
            <a:t>Closing Bond Prices from:</a:t>
          </a:r>
        </a:p>
        <a:p>
          <a:r>
            <a:rPr lang="en-CA">
              <a:hlinkClick xmlns:r="http://schemas.openxmlformats.org/officeDocument/2006/relationships" r:id=""/>
            </a:rPr>
            <a:t>https://www.marketwatch.com/investing/bond/tmbmbca-06m?countrycode=bx</a:t>
          </a:r>
          <a:endParaRPr lang="en-CA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419100</xdr:colOff>
      <xdr:row>21</xdr:row>
      <xdr:rowOff>133349</xdr:rowOff>
    </xdr:from>
    <xdr:to>
      <xdr:col>24</xdr:col>
      <xdr:colOff>400050</xdr:colOff>
      <xdr:row>38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3AE9D2-6470-434E-A85B-65226FB74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51203-E674-4856-80A0-CC0C2B7C30F2}">
  <dimension ref="A1:E24"/>
  <sheetViews>
    <sheetView workbookViewId="0">
      <selection activeCell="L23" sqref="L22:L23"/>
    </sheetView>
  </sheetViews>
  <sheetFormatPr defaultRowHeight="14.5" x14ac:dyDescent="0.35"/>
  <cols>
    <col min="1" max="1" width="14.81640625" style="1" bestFit="1" customWidth="1"/>
    <col min="2" max="2" width="7.81640625" style="1" bestFit="1" customWidth="1"/>
    <col min="3" max="3" width="7.08984375" style="1" bestFit="1" customWidth="1"/>
    <col min="4" max="4" width="8.7265625" style="1"/>
    <col min="5" max="5" width="9.6328125" style="2" bestFit="1" customWidth="1"/>
    <col min="6" max="16384" width="8.7265625" style="1"/>
  </cols>
  <sheetData>
    <row r="1" spans="1:5" x14ac:dyDescent="0.35">
      <c r="A1" s="1" t="s">
        <v>35</v>
      </c>
      <c r="B1" s="5">
        <v>43886</v>
      </c>
      <c r="C1" s="5">
        <v>43893</v>
      </c>
    </row>
    <row r="2" spans="1:5" x14ac:dyDescent="0.35">
      <c r="A2" s="1" t="s">
        <v>34</v>
      </c>
    </row>
    <row r="3" spans="1:5" x14ac:dyDescent="0.35">
      <c r="A3" s="1" t="s">
        <v>21</v>
      </c>
      <c r="B3" s="1">
        <v>1.63</v>
      </c>
      <c r="C3" s="1">
        <v>1.34</v>
      </c>
    </row>
    <row r="4" spans="1:5" x14ac:dyDescent="0.35">
      <c r="A4" s="1" t="s">
        <v>33</v>
      </c>
      <c r="B4" s="1">
        <v>1.61</v>
      </c>
      <c r="C4" s="1">
        <v>1.26</v>
      </c>
    </row>
    <row r="5" spans="1:5" x14ac:dyDescent="0.35">
      <c r="A5" s="1" t="s">
        <v>32</v>
      </c>
      <c r="B5" s="1">
        <v>1.59</v>
      </c>
      <c r="C5" s="1">
        <v>1.23</v>
      </c>
    </row>
    <row r="6" spans="1:5" x14ac:dyDescent="0.35">
      <c r="A6" s="1" t="s">
        <v>31</v>
      </c>
      <c r="B6" s="1">
        <v>1.51</v>
      </c>
      <c r="C6" s="1">
        <v>1.17</v>
      </c>
    </row>
    <row r="9" spans="1:5" x14ac:dyDescent="0.35">
      <c r="B9" s="6" t="s">
        <v>19</v>
      </c>
      <c r="C9" s="6"/>
    </row>
    <row r="10" spans="1:5" x14ac:dyDescent="0.35">
      <c r="B10" s="5">
        <v>43886</v>
      </c>
      <c r="C10" s="5">
        <v>43893</v>
      </c>
      <c r="D10" s="1" t="s">
        <v>5</v>
      </c>
      <c r="E10" s="2" t="s">
        <v>6</v>
      </c>
    </row>
    <row r="11" spans="1:5" x14ac:dyDescent="0.35">
      <c r="A11" s="1" t="s">
        <v>21</v>
      </c>
    </row>
    <row r="12" spans="1:5" x14ac:dyDescent="0.35">
      <c r="A12" s="1" t="s">
        <v>22</v>
      </c>
      <c r="B12" s="3">
        <v>1.61E-2</v>
      </c>
      <c r="C12" s="4">
        <f>AVERAGE(1.35,1.13)/100</f>
        <v>1.24E-2</v>
      </c>
      <c r="D12" s="3">
        <v>0</v>
      </c>
      <c r="E12" s="2" t="s">
        <v>13</v>
      </c>
    </row>
    <row r="13" spans="1:5" x14ac:dyDescent="0.35">
      <c r="A13" s="1" t="s">
        <v>23</v>
      </c>
      <c r="B13" s="3">
        <v>1.5900000000000001E-2</v>
      </c>
      <c r="C13" s="4">
        <f>AVERAGE(1.35, 1.11)/100</f>
        <v>1.23E-2</v>
      </c>
      <c r="D13" s="3">
        <v>0</v>
      </c>
      <c r="E13" s="2" t="s">
        <v>13</v>
      </c>
    </row>
    <row r="14" spans="1:5" x14ac:dyDescent="0.35">
      <c r="A14" s="1" t="s">
        <v>24</v>
      </c>
      <c r="B14" s="3">
        <v>1.5100000000000001E-2</v>
      </c>
      <c r="C14" s="4">
        <f>AVERAGE(1.32, 1.03)/100</f>
        <v>1.175E-2</v>
      </c>
      <c r="D14" s="3">
        <v>0</v>
      </c>
      <c r="E14" s="2" t="s">
        <v>13</v>
      </c>
    </row>
    <row r="15" spans="1:5" x14ac:dyDescent="0.35">
      <c r="A15" s="1" t="s">
        <v>25</v>
      </c>
      <c r="B15" s="3">
        <v>1.35E-2</v>
      </c>
      <c r="C15" s="3">
        <v>9.7999999999999997E-3</v>
      </c>
      <c r="D15" s="3">
        <v>1.4999999999999999E-2</v>
      </c>
      <c r="E15" s="2">
        <v>44593</v>
      </c>
    </row>
    <row r="16" spans="1:5" x14ac:dyDescent="0.35">
      <c r="A16" s="1" t="s">
        <v>26</v>
      </c>
      <c r="B16" s="3">
        <v>1.2800000000000001E-2</v>
      </c>
      <c r="C16" s="3">
        <v>9.2999999999999992E-3</v>
      </c>
      <c r="D16" s="3">
        <v>0.02</v>
      </c>
      <c r="E16" s="2">
        <v>45170</v>
      </c>
    </row>
    <row r="17" spans="1:5" x14ac:dyDescent="0.35">
      <c r="A17" s="1" t="s">
        <v>27</v>
      </c>
      <c r="B17" s="3">
        <v>1.2200000000000001E-2</v>
      </c>
      <c r="C17" s="3">
        <v>8.8999999999999999E-3</v>
      </c>
      <c r="D17" s="3">
        <v>1.2500000000000001E-2</v>
      </c>
      <c r="E17" s="2">
        <v>45717</v>
      </c>
    </row>
    <row r="18" spans="1:5" x14ac:dyDescent="0.35">
      <c r="A18" s="1" t="s">
        <v>28</v>
      </c>
      <c r="B18" s="3">
        <v>1.21E-2</v>
      </c>
      <c r="C18" s="3">
        <v>8.8999999999999999E-3</v>
      </c>
      <c r="D18" s="3">
        <v>2.2499999999999999E-2</v>
      </c>
      <c r="E18" s="2">
        <v>45809</v>
      </c>
    </row>
    <row r="19" spans="1:5" x14ac:dyDescent="0.35">
      <c r="A19" s="1" t="s">
        <v>29</v>
      </c>
      <c r="B19" s="3">
        <v>1.21E-2</v>
      </c>
      <c r="C19" s="3">
        <v>8.9999999999999993E-3</v>
      </c>
      <c r="D19" s="3">
        <v>1.4999999999999999E-2</v>
      </c>
      <c r="E19" s="2">
        <v>46174</v>
      </c>
    </row>
    <row r="20" spans="1:5" x14ac:dyDescent="0.35">
      <c r="A20" s="1" t="s">
        <v>30</v>
      </c>
      <c r="B20" s="3">
        <v>1.23E-2</v>
      </c>
      <c r="C20" s="3">
        <v>9.4999999999999998E-3</v>
      </c>
      <c r="D20" s="3">
        <v>0.01</v>
      </c>
      <c r="E20" s="2">
        <v>46539</v>
      </c>
    </row>
    <row r="21" spans="1:5" x14ac:dyDescent="0.35">
      <c r="B21" s="3"/>
      <c r="C21" s="3"/>
      <c r="D21" s="3"/>
    </row>
    <row r="22" spans="1:5" x14ac:dyDescent="0.35">
      <c r="B22" s="3"/>
      <c r="C22" s="3"/>
      <c r="D22" s="3"/>
    </row>
    <row r="23" spans="1:5" x14ac:dyDescent="0.35">
      <c r="B23" s="3"/>
      <c r="C23" s="3"/>
      <c r="D23" s="3"/>
    </row>
    <row r="24" spans="1:5" x14ac:dyDescent="0.35">
      <c r="B24" s="3"/>
      <c r="C24" s="3"/>
      <c r="D24" s="3"/>
    </row>
  </sheetData>
  <mergeCells count="1">
    <mergeCell ref="B9:C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D6EEE-8B21-4F4B-8681-EC02B6559B59}">
  <sheetPr codeName="Sheet3"/>
  <dimension ref="A1:AF68"/>
  <sheetViews>
    <sheetView showGridLines="0" tabSelected="1" zoomScaleNormal="100" workbookViewId="0">
      <selection activeCell="D37" sqref="D37"/>
    </sheetView>
  </sheetViews>
  <sheetFormatPr defaultRowHeight="14.5" x14ac:dyDescent="0.35"/>
  <cols>
    <col min="1" max="1" width="14.54296875" style="33" bestFit="1" customWidth="1"/>
    <col min="2" max="2" width="8.6328125" style="33" bestFit="1" customWidth="1"/>
    <col min="3" max="3" width="9.36328125" style="33" bestFit="1" customWidth="1"/>
    <col min="4" max="4" width="9.453125" style="33" bestFit="1" customWidth="1"/>
    <col min="5" max="5" width="7.453125" style="33" bestFit="1" customWidth="1"/>
    <col min="6" max="6" width="8" style="33" bestFit="1" customWidth="1"/>
    <col min="7" max="8" width="7.54296875" style="33" bestFit="1" customWidth="1"/>
    <col min="9" max="9" width="7.81640625" style="33" bestFit="1" customWidth="1"/>
    <col min="10" max="11" width="9.08984375" style="33" bestFit="1" customWidth="1"/>
    <col min="12" max="12" width="8.26953125" style="33" bestFit="1" customWidth="1"/>
    <col min="13" max="13" width="5.81640625" style="134" bestFit="1" customWidth="1"/>
    <col min="14" max="14" width="9.6328125" style="47" bestFit="1" customWidth="1"/>
    <col min="15" max="15" width="8.1796875" style="34" bestFit="1" customWidth="1"/>
    <col min="16" max="16" width="9.81640625" style="34" customWidth="1"/>
    <col min="17" max="17" width="9.08984375" style="33" customWidth="1"/>
    <col min="18" max="19" width="10.6328125" style="33" customWidth="1"/>
    <col min="20" max="28" width="9.08984375" style="33" customWidth="1"/>
    <col min="29" max="29" width="8.36328125" style="33" bestFit="1" customWidth="1"/>
    <col min="30" max="30" width="9" style="33" customWidth="1"/>
    <col min="31" max="31" width="8.36328125" style="33" bestFit="1" customWidth="1"/>
    <col min="32" max="34" width="8.81640625" style="33" bestFit="1" customWidth="1"/>
    <col min="35" max="16384" width="8.7265625" style="33"/>
  </cols>
  <sheetData>
    <row r="1" spans="1:28" ht="14.5" customHeight="1" x14ac:dyDescent="0.35">
      <c r="A1" s="8" t="s">
        <v>8</v>
      </c>
      <c r="B1" s="8">
        <v>3</v>
      </c>
      <c r="C1" s="9" t="s">
        <v>2</v>
      </c>
      <c r="D1" s="9"/>
      <c r="E1" s="11"/>
      <c r="F1" s="10"/>
      <c r="G1" s="10"/>
      <c r="H1" s="10"/>
      <c r="I1" s="10"/>
      <c r="J1" s="7"/>
      <c r="K1" s="7"/>
      <c r="L1" s="7"/>
      <c r="M1" s="129"/>
    </row>
    <row r="2" spans="1:28" ht="14.5" customHeight="1" x14ac:dyDescent="0.35">
      <c r="A2" s="8" t="s">
        <v>4</v>
      </c>
      <c r="B2" s="12">
        <v>100</v>
      </c>
      <c r="C2" s="8"/>
      <c r="I2" s="10"/>
      <c r="J2" s="7"/>
      <c r="K2" s="7"/>
      <c r="L2" s="7"/>
      <c r="M2" s="129"/>
    </row>
    <row r="3" spans="1:28" ht="15" customHeight="1" thickBot="1" x14ac:dyDescent="0.4">
      <c r="A3" s="27" t="s">
        <v>3</v>
      </c>
      <c r="B3" s="8">
        <v>2</v>
      </c>
      <c r="E3" s="80" t="s">
        <v>41</v>
      </c>
      <c r="F3" s="80"/>
      <c r="G3" s="93">
        <v>43886</v>
      </c>
      <c r="H3" s="93"/>
      <c r="I3" s="13"/>
      <c r="J3" s="7"/>
      <c r="K3" s="7"/>
      <c r="L3" s="7"/>
      <c r="M3" s="129"/>
      <c r="Z3" s="77" t="s">
        <v>43</v>
      </c>
      <c r="AA3" s="77"/>
    </row>
    <row r="4" spans="1:28" ht="15" customHeight="1" x14ac:dyDescent="0.35">
      <c r="A4" s="16"/>
      <c r="B4" s="16"/>
      <c r="C4" s="35"/>
      <c r="D4" s="35"/>
      <c r="E4" s="102"/>
      <c r="F4" s="103"/>
      <c r="G4" s="98" t="s">
        <v>44</v>
      </c>
      <c r="H4" s="98"/>
      <c r="I4" s="99"/>
      <c r="J4" s="94" t="s">
        <v>20</v>
      </c>
      <c r="K4" s="94" t="s">
        <v>50</v>
      </c>
      <c r="L4" s="94" t="s">
        <v>16</v>
      </c>
      <c r="M4" s="130" t="s">
        <v>18</v>
      </c>
      <c r="N4" s="135"/>
      <c r="Q4" s="35"/>
      <c r="R4" s="123">
        <v>43886</v>
      </c>
      <c r="S4" s="120"/>
      <c r="T4" s="124"/>
      <c r="U4" s="120">
        <v>43893</v>
      </c>
      <c r="V4" s="120"/>
      <c r="W4" s="120"/>
    </row>
    <row r="5" spans="1:28" ht="15" customHeight="1" x14ac:dyDescent="0.35">
      <c r="A5" s="20"/>
      <c r="B5" s="20"/>
      <c r="C5" s="97" t="s">
        <v>6</v>
      </c>
      <c r="D5" s="97" t="s">
        <v>6</v>
      </c>
      <c r="E5" s="104" t="s">
        <v>15</v>
      </c>
      <c r="F5" s="105"/>
      <c r="G5" s="100" t="s">
        <v>45</v>
      </c>
      <c r="H5" s="100" t="s">
        <v>5</v>
      </c>
      <c r="I5" s="101" t="s">
        <v>47</v>
      </c>
      <c r="J5" s="96" t="s">
        <v>16</v>
      </c>
      <c r="K5" s="96" t="s">
        <v>16</v>
      </c>
      <c r="L5" s="96" t="s">
        <v>1</v>
      </c>
      <c r="M5" s="131" t="s">
        <v>53</v>
      </c>
      <c r="N5" s="136" t="s">
        <v>14</v>
      </c>
      <c r="Q5" s="37"/>
      <c r="R5" s="125" t="s">
        <v>55</v>
      </c>
      <c r="S5" s="97" t="s">
        <v>53</v>
      </c>
      <c r="T5" s="126" t="s">
        <v>14</v>
      </c>
      <c r="U5" s="97" t="s">
        <v>55</v>
      </c>
      <c r="V5" s="97" t="s">
        <v>53</v>
      </c>
      <c r="W5" s="97" t="s">
        <v>14</v>
      </c>
    </row>
    <row r="6" spans="1:28" ht="17" thickBot="1" x14ac:dyDescent="0.4">
      <c r="A6" s="90" t="s">
        <v>38</v>
      </c>
      <c r="B6" s="91" t="s">
        <v>5</v>
      </c>
      <c r="C6" s="92" t="s">
        <v>17</v>
      </c>
      <c r="D6" s="92" t="s">
        <v>10</v>
      </c>
      <c r="E6" s="106" t="s">
        <v>19</v>
      </c>
      <c r="F6" s="107" t="s">
        <v>16</v>
      </c>
      <c r="G6" s="92" t="s">
        <v>5</v>
      </c>
      <c r="H6" s="92" t="s">
        <v>46</v>
      </c>
      <c r="I6" s="92" t="s">
        <v>48</v>
      </c>
      <c r="J6" s="92" t="s">
        <v>49</v>
      </c>
      <c r="K6" s="92" t="s">
        <v>51</v>
      </c>
      <c r="L6" s="92" t="s">
        <v>52</v>
      </c>
      <c r="M6" s="132" t="s">
        <v>12</v>
      </c>
      <c r="N6" s="137" t="s">
        <v>54</v>
      </c>
      <c r="O6" s="33"/>
      <c r="Q6" s="121" t="s">
        <v>42</v>
      </c>
      <c r="R6" s="127" t="s">
        <v>56</v>
      </c>
      <c r="S6" s="122" t="s">
        <v>12</v>
      </c>
      <c r="T6" s="128" t="s">
        <v>54</v>
      </c>
      <c r="U6" s="122" t="s">
        <v>56</v>
      </c>
      <c r="V6" s="122" t="s">
        <v>12</v>
      </c>
      <c r="W6" s="122" t="s">
        <v>54</v>
      </c>
      <c r="X6" s="34"/>
      <c r="Y6" s="34"/>
      <c r="Z6" s="34"/>
      <c r="AA6" s="34"/>
      <c r="AB6" s="34"/>
    </row>
    <row r="7" spans="1:28" ht="16.5" x14ac:dyDescent="0.35">
      <c r="A7" s="35" t="s">
        <v>37</v>
      </c>
      <c r="B7" s="71"/>
      <c r="C7" s="72"/>
      <c r="D7" s="15">
        <f>1/12</f>
        <v>8.3333333333333329E-2</v>
      </c>
      <c r="E7" s="116">
        <v>1.6299999999999999E-2</v>
      </c>
      <c r="F7" s="109"/>
      <c r="G7" s="61"/>
      <c r="H7" s="61"/>
      <c r="I7" s="62"/>
      <c r="J7" s="63"/>
      <c r="K7" s="64"/>
      <c r="L7" s="65"/>
      <c r="M7" s="36">
        <f>E7</f>
        <v>1.6299999999999999E-2</v>
      </c>
      <c r="N7" s="138">
        <f>(1+0.5*M7)^(-2*D7)</f>
        <v>0.99864808664232507</v>
      </c>
      <c r="O7" s="33"/>
      <c r="Q7" s="14">
        <v>44061</v>
      </c>
      <c r="R7" s="142">
        <f>(COUPNUM($R$4,Q7,$B$3,$B$1)-COUPDAYBS($R$4,Q7,$B$3,$B$1)/COUPDAYS($R$4,Q7,$B$3,$B$1))/$B$3</f>
        <v>0.4808219178082192</v>
      </c>
      <c r="S7" s="144">
        <f>PWLinear(R7,$D$7:$D$16,$M$7:$M$16)</f>
        <v>1.5915342465753424E-2</v>
      </c>
      <c r="T7" s="143">
        <f>PWLinear(R7,$D$7:$D$16,$N$7:$N$16)</f>
        <v>0.99241084148688763</v>
      </c>
      <c r="U7" s="135">
        <f>(COUPNUM($U$4,Q7,$B$3,$B$1)-COUPDAYBS($U$4,Q7,$B$3,$B$1)/COUPDAYS($U$4,Q7,$B$3,$B$1))/$B$3</f>
        <v>0.46164383561643835</v>
      </c>
      <c r="V7" s="144">
        <f>PWLinear(U7,$D$22:$D$31,$M$22:$M$31)</f>
        <v>1.2315342465753425E-2</v>
      </c>
      <c r="W7" s="95">
        <f>PWLinear(U7,$D$22:$D$31,$N$22:$N$31)</f>
        <v>0.99435196933591297</v>
      </c>
      <c r="X7" s="34"/>
      <c r="Y7" s="34"/>
      <c r="Z7" s="34"/>
      <c r="AA7" s="34"/>
      <c r="AB7" s="34"/>
    </row>
    <row r="8" spans="1:28" x14ac:dyDescent="0.35">
      <c r="A8" s="37" t="s">
        <v>22</v>
      </c>
      <c r="B8" s="73"/>
      <c r="C8" s="74"/>
      <c r="D8" s="19">
        <f>3/12</f>
        <v>0.25</v>
      </c>
      <c r="E8" s="117">
        <v>1.61E-2</v>
      </c>
      <c r="F8" s="111"/>
      <c r="G8" s="66"/>
      <c r="H8" s="66"/>
      <c r="I8" s="67"/>
      <c r="J8" s="68"/>
      <c r="K8" s="69"/>
      <c r="L8" s="70"/>
      <c r="M8" s="38">
        <f>E8</f>
        <v>1.61E-2</v>
      </c>
      <c r="N8" s="139">
        <f>(1+0.5*M8)^(-2*D8)</f>
        <v>0.99599913905871629</v>
      </c>
      <c r="O8" s="33"/>
      <c r="Q8" s="18">
        <v>44245</v>
      </c>
      <c r="R8" s="145">
        <f>(COUPNUM($R$4,Q8,$B$3,$B$1)-COUPDAYBS($R$4,Q8,$B$3,$B$1)/COUPDAYS($R$4,Q8,$B$3,$B$1))/$B$3</f>
        <v>0.98082191780821915</v>
      </c>
      <c r="S8" s="146">
        <f t="shared" ref="S8:S21" si="0">PWLinear(R8,$D$7:$D$16,$M$7:$M$16)</f>
        <v>1.5130684931506849E-2</v>
      </c>
      <c r="T8" s="126">
        <f t="shared" ref="T8:T21" si="1">PWLinear(R8,$D$7:$D$16,$N$7:$N$16)</f>
        <v>0.98533946000527606</v>
      </c>
      <c r="U8" s="136">
        <f>(COUPNUM($U$4,Q8,$B$3,$B$1)-COUPDAYBS($U$4,Q8,$B$3,$B$1)/COUPDAYS($U$4,Q8,$B$3,$B$1))/$B$3</f>
        <v>0.9616438356164384</v>
      </c>
      <c r="V8" s="146">
        <f t="shared" ref="V8:V21" si="2">PWLinear(U8,$D$22:$D$31,$M$22:$M$31)</f>
        <v>1.1792191780821918E-2</v>
      </c>
      <c r="W8" s="97">
        <f t="shared" ref="W8:W21" si="3">PWLinear(U8,$D$22:$D$31,$N$22:$N$31)</f>
        <v>0.98877733287805802</v>
      </c>
      <c r="X8" s="34"/>
      <c r="Y8" s="34"/>
      <c r="Z8" s="34"/>
      <c r="AA8" s="34"/>
      <c r="AB8" s="34"/>
    </row>
    <row r="9" spans="1:28" x14ac:dyDescent="0.35">
      <c r="A9" s="37" t="s">
        <v>23</v>
      </c>
      <c r="B9" s="73"/>
      <c r="C9" s="74"/>
      <c r="D9" s="19">
        <f>0.5</f>
        <v>0.5</v>
      </c>
      <c r="E9" s="117">
        <v>1.5900000000000001E-2</v>
      </c>
      <c r="F9" s="111"/>
      <c r="G9" s="66"/>
      <c r="H9" s="66"/>
      <c r="I9" s="67"/>
      <c r="J9" s="68"/>
      <c r="K9" s="69"/>
      <c r="L9" s="70"/>
      <c r="M9" s="38">
        <f>E9</f>
        <v>1.5900000000000001E-2</v>
      </c>
      <c r="N9" s="139">
        <f>(1+0.5*M9)^(-2*D9)</f>
        <v>0.99211270400317486</v>
      </c>
      <c r="O9" s="33"/>
      <c r="Q9" s="18">
        <f>Q7+365</f>
        <v>44426</v>
      </c>
      <c r="R9" s="145">
        <f>(COUPNUM($R$4,Q9,$B$3,$B$1)-COUPDAYBS($R$4,Q9,$B$3,$B$1)/COUPDAYS($R$4,Q9,$B$3,$B$1))/$B$3</f>
        <v>1.4808219178082191</v>
      </c>
      <c r="S9" s="146">
        <f t="shared" si="0"/>
        <v>1.4268907139966249E-2</v>
      </c>
      <c r="T9" s="126">
        <f t="shared" si="1"/>
        <v>0.97954675760266363</v>
      </c>
      <c r="U9" s="136">
        <f>(COUPNUM($U$4,Q9,$B$3,$B$1)-COUPDAYBS($U$4,Q9,$B$3,$B$1)/COUPDAYS($U$4,Q9,$B$3,$B$1))/$B$3</f>
        <v>1.4616438356164383</v>
      </c>
      <c r="V9" s="146">
        <f t="shared" si="2"/>
        <v>1.0757600888582946E-2</v>
      </c>
      <c r="W9" s="97">
        <f t="shared" si="3"/>
        <v>0.9848877069121772</v>
      </c>
      <c r="X9" s="34"/>
      <c r="Y9" s="34"/>
      <c r="Z9" s="34"/>
      <c r="AA9" s="34"/>
      <c r="AB9" s="34"/>
    </row>
    <row r="10" spans="1:28" x14ac:dyDescent="0.35">
      <c r="A10" s="37" t="s">
        <v>24</v>
      </c>
      <c r="B10" s="73"/>
      <c r="C10" s="74"/>
      <c r="D10" s="19">
        <v>1</v>
      </c>
      <c r="E10" s="117">
        <v>1.5100000000000001E-2</v>
      </c>
      <c r="F10" s="111"/>
      <c r="G10" s="66"/>
      <c r="H10" s="66"/>
      <c r="I10" s="67"/>
      <c r="J10" s="68"/>
      <c r="K10" s="69"/>
      <c r="L10" s="70"/>
      <c r="M10" s="38">
        <f>E10</f>
        <v>1.5100000000000001E-2</v>
      </c>
      <c r="N10" s="139">
        <f>(1+0.5*M10)^(-2*D10)</f>
        <v>0.98506930212501798</v>
      </c>
      <c r="O10" s="33"/>
      <c r="Q10" s="18">
        <f>Q8+364</f>
        <v>44609</v>
      </c>
      <c r="R10" s="145">
        <f>(COUPNUM($R$4,Q10,$B$3,$B$1)-COUPDAYBS($R$4,Q10,$B$3,$B$1)/COUPDAYS($R$4,Q10,$B$3,$B$1))/$B$3</f>
        <v>1.978082191780822</v>
      </c>
      <c r="S10" s="146">
        <f t="shared" si="0"/>
        <v>1.3465440596569489E-2</v>
      </c>
      <c r="T10" s="126">
        <f t="shared" si="1"/>
        <v>0.97383671475840794</v>
      </c>
      <c r="U10" s="136">
        <f>(COUPNUM($U$4,Q10,$B$3,$B$1)-COUPDAYBS($U$4,Q10,$B$3,$B$1)/COUPDAYS($U$4,Q10,$B$3,$B$1))/$B$3</f>
        <v>1.9589041095890412</v>
      </c>
      <c r="V10" s="146">
        <f t="shared" si="2"/>
        <v>9.76882354431023E-3</v>
      </c>
      <c r="W10" s="97">
        <f t="shared" si="3"/>
        <v>0.98111497015376548</v>
      </c>
      <c r="X10" s="34"/>
      <c r="Y10" s="34"/>
      <c r="Z10" s="34"/>
      <c r="AA10" s="34"/>
      <c r="AB10" s="34"/>
    </row>
    <row r="11" spans="1:28" x14ac:dyDescent="0.35">
      <c r="A11" s="37" t="s">
        <v>25</v>
      </c>
      <c r="B11" s="17">
        <v>1.4999999999999999E-2</v>
      </c>
      <c r="C11" s="18">
        <v>44593</v>
      </c>
      <c r="D11" s="19">
        <f>(COUPNUM($G$3,C11,$B$3,$B$1)-COUPDAYBS($G$3,C11,$B$3,$B$1)/COUPDAYS($G$3,C11,$B$3,$B$1))/$B$3</f>
        <v>1.9342465753424658</v>
      </c>
      <c r="E11" s="118">
        <v>1.35E-2</v>
      </c>
      <c r="F11" s="113">
        <f>PRICE($G$3,C11,B11,E11,$B$2,$B$3,$B$1)</f>
        <v>100.28514403207308</v>
      </c>
      <c r="G11" s="20">
        <f>COUPDAYBS($G$3,C11,$B$3, $B$1)</f>
        <v>24</v>
      </c>
      <c r="H11" s="20">
        <f>COUPDAYS($G$3,$C11, $B$3, $B$1)</f>
        <v>182.5</v>
      </c>
      <c r="I11" s="21">
        <f>G11/H11*B11*$B$2/$B$3</f>
        <v>9.8630136986301367E-2</v>
      </c>
      <c r="J11" s="23">
        <f t="shared" ref="J11:J16" si="4">I11+F11</f>
        <v>100.38377416905938</v>
      </c>
      <c r="K11" s="22">
        <f>Bond_ZeroRates($B$2,D11,B11,$B$3,$D$7:$D$16, $M$7:$M$16)</f>
        <v>100.38372314361824</v>
      </c>
      <c r="L11" s="39">
        <f>ABS(K11-J11)</f>
        <v>5.1025441138108363E-5</v>
      </c>
      <c r="M11" s="38">
        <v>1.3485169998452938E-2</v>
      </c>
      <c r="N11" s="139">
        <f>(1+0.5*M11)^(-2*D11)</f>
        <v>0.97433888798186796</v>
      </c>
      <c r="O11" s="33"/>
      <c r="Q11" s="18">
        <f t="shared" ref="Q11:Q19" si="5">Q9+365</f>
        <v>44791</v>
      </c>
      <c r="R11" s="145">
        <f>(COUPNUM($R$4,Q11,$B$3,$B$1)-COUPDAYBS($R$4,Q11,$B$3,$B$1)/COUPDAYS($R$4,Q11,$B$3,$B$1))/$B$3</f>
        <v>2.4808219178082194</v>
      </c>
      <c r="S11" s="146">
        <f t="shared" si="0"/>
        <v>1.3239169018718678E-2</v>
      </c>
      <c r="T11" s="126">
        <f t="shared" si="1"/>
        <v>0.96807741560185101</v>
      </c>
      <c r="U11" s="136">
        <f>(COUPNUM($U$4,Q11,$B$3,$B$1)-COUPDAYBS($U$4,Q11,$B$3,$B$1)/COUPDAYS($U$4,Q11,$B$3,$B$1))/$B$3</f>
        <v>2.4616438356164383</v>
      </c>
      <c r="V11" s="146">
        <f t="shared" si="2"/>
        <v>9.6077213276284951E-3</v>
      </c>
      <c r="W11" s="97">
        <f t="shared" si="3"/>
        <v>0.97687848258570043</v>
      </c>
      <c r="X11" s="34"/>
      <c r="Y11" s="34"/>
      <c r="Z11" s="34"/>
      <c r="AA11" s="34"/>
      <c r="AB11" s="34"/>
    </row>
    <row r="12" spans="1:28" x14ac:dyDescent="0.35">
      <c r="A12" s="37" t="s">
        <v>26</v>
      </c>
      <c r="B12" s="17">
        <v>0.02</v>
      </c>
      <c r="C12" s="18">
        <v>45170</v>
      </c>
      <c r="D12" s="19">
        <f>(COUPNUM($G$3,C12,$B$3,$B$1)-COUPDAYBS($G$3,C12,$B$3,$B$1)/COUPDAYS($G$3,C12,$B$3,$B$1))/$B$3</f>
        <v>3.515068493150685</v>
      </c>
      <c r="E12" s="118">
        <v>1.2800000000000001E-2</v>
      </c>
      <c r="F12" s="113">
        <f>PRICE($G$3,C12,B12,E12,$B$2,$B$3,$B$1)</f>
        <v>102.46695517949799</v>
      </c>
      <c r="G12" s="20">
        <f>COUPDAYBS($G$3,C12,$B$3, $B$1)</f>
        <v>177</v>
      </c>
      <c r="H12" s="20">
        <f>COUPDAYS($G$3,$C12, $B$3, $B$1)</f>
        <v>182.5</v>
      </c>
      <c r="I12" s="21">
        <f>G12/H12*B12*$B$2/$B$3</f>
        <v>0.96986301369863026</v>
      </c>
      <c r="J12" s="23">
        <f t="shared" si="4"/>
        <v>103.43681819319661</v>
      </c>
      <c r="K12" s="22">
        <f>Bond_ZeroRates($B$2,D12,B12,$B$3,$D$7:$D$16, $M$7:$M$16)</f>
        <v>103.4368814467076</v>
      </c>
      <c r="L12" s="39">
        <f t="shared" ref="L12:L16" si="6">ABS(K12-J12)</f>
        <v>6.325351098723786E-5</v>
      </c>
      <c r="M12" s="38">
        <v>1.2773678443031043E-2</v>
      </c>
      <c r="N12" s="139">
        <f>(1+0.5*M12)^(-2*D12)</f>
        <v>0.95622926611084136</v>
      </c>
      <c r="O12" s="33"/>
      <c r="Q12" s="18">
        <f t="shared" si="5"/>
        <v>44974</v>
      </c>
      <c r="R12" s="145">
        <f>(COUPNUM($R$4,Q12,$B$3,$B$1)-COUPDAYBS($R$4,Q12,$B$3,$B$1)/COUPDAYS($R$4,Q12,$B$3,$B$1))/$B$3</f>
        <v>2.978082191780822</v>
      </c>
      <c r="S12" s="146">
        <f t="shared" si="0"/>
        <v>1.3015363616103299E-2</v>
      </c>
      <c r="T12" s="126">
        <f t="shared" si="1"/>
        <v>0.96238088809822653</v>
      </c>
      <c r="U12" s="136">
        <f>(COUPNUM($U$4,Q12,$B$3,$B$1)-COUPDAYBS($U$4,Q12,$B$3,$B$1)/COUPDAYS($U$4,Q12,$B$3,$B$1))/$B$3</f>
        <v>2.9589041095890409</v>
      </c>
      <c r="V12" s="146">
        <f t="shared" si="2"/>
        <v>9.4483749934174046E-3</v>
      </c>
      <c r="W12" s="97">
        <f t="shared" si="3"/>
        <v>0.97268816926905843</v>
      </c>
      <c r="X12" s="34"/>
      <c r="Y12" s="34"/>
      <c r="Z12" s="34"/>
      <c r="AA12" s="34"/>
      <c r="AB12" s="34"/>
    </row>
    <row r="13" spans="1:28" x14ac:dyDescent="0.35">
      <c r="A13" s="37" t="s">
        <v>27</v>
      </c>
      <c r="B13" s="17">
        <v>1.2500000000000001E-2</v>
      </c>
      <c r="C13" s="18">
        <v>45717</v>
      </c>
      <c r="D13" s="19">
        <f>(COUPNUM($G$3,C13,$B$3,$B$1)-COUPDAYBS($G$3,C13,$B$3,$B$1)/COUPDAYS($G$3,C13,$B$3,$B$1))/$B$3</f>
        <v>5.015068493150685</v>
      </c>
      <c r="E13" s="118">
        <v>1.2200000000000001E-2</v>
      </c>
      <c r="F13" s="113">
        <f>PRICE($G$3,C13,B13,E13,$B$2,$B$3,$B$1)</f>
        <v>100.14545635007306</v>
      </c>
      <c r="G13" s="20">
        <f>COUPDAYBS($G$3,C13,$B$3, $B$1)</f>
        <v>177</v>
      </c>
      <c r="H13" s="20">
        <f>COUPDAYS($G$3,$C13, $B$3, $B$1)</f>
        <v>182.5</v>
      </c>
      <c r="I13" s="21">
        <f>G13/H13*B13*$B$2/$B$3</f>
        <v>0.60616438356164393</v>
      </c>
      <c r="J13" s="23">
        <f t="shared" si="4"/>
        <v>100.75162073363471</v>
      </c>
      <c r="K13" s="22">
        <f>Bond_ZeroRates($B$2,D13,B13,$B$3,$D$7:$D$16, $M$7:$M$16)</f>
        <v>100.75158647787586</v>
      </c>
      <c r="L13" s="39">
        <f t="shared" si="6"/>
        <v>3.4255758848189544E-5</v>
      </c>
      <c r="M13" s="38">
        <v>1.2174844399412922E-2</v>
      </c>
      <c r="N13" s="139">
        <f>(1+0.5*M13)^(-2*D13)</f>
        <v>0.94094312015302428</v>
      </c>
      <c r="O13" s="33"/>
      <c r="Q13" s="18">
        <f t="shared" si="5"/>
        <v>45156</v>
      </c>
      <c r="R13" s="145">
        <f>(COUPNUM($R$4,Q13,$B$3,$B$1)-COUPDAYBS($R$4,Q13,$B$3,$B$1)/COUPDAYS($R$4,Q13,$B$3,$B$1))/$B$3</f>
        <v>3.4808219178082194</v>
      </c>
      <c r="S13" s="146">
        <f t="shared" si="0"/>
        <v>1.2789092038252488E-2</v>
      </c>
      <c r="T13" s="126">
        <f t="shared" si="1"/>
        <v>0.95662158894166949</v>
      </c>
      <c r="U13" s="136">
        <f>(COUPNUM($U$4,Q13,$B$3,$B$1)-COUPDAYBS($U$4,Q13,$B$3,$B$1)/COUPDAYS($U$4,Q13,$B$3,$B$1))/$B$3</f>
        <v>3.4616438356164383</v>
      </c>
      <c r="V13" s="146">
        <f t="shared" si="2"/>
        <v>9.2872727767356698E-3</v>
      </c>
      <c r="W13" s="97">
        <f t="shared" si="3"/>
        <v>0.96845168170099349</v>
      </c>
      <c r="X13" s="34"/>
      <c r="Y13" s="34"/>
      <c r="Z13" s="34"/>
      <c r="AA13" s="34"/>
      <c r="AB13" s="34"/>
    </row>
    <row r="14" spans="1:28" x14ac:dyDescent="0.35">
      <c r="A14" s="37" t="s">
        <v>28</v>
      </c>
      <c r="B14" s="17">
        <v>2.2499999999999999E-2</v>
      </c>
      <c r="C14" s="18">
        <v>45809</v>
      </c>
      <c r="D14" s="19">
        <f>(COUPNUM($G$3,C14,$B$3,$B$1)-COUPDAYBS($G$3,C14,$B$3,$B$1)/COUPDAYS($G$3,C14,$B$3,$B$1))/$B$3</f>
        <v>5.2643835616438359</v>
      </c>
      <c r="E14" s="118">
        <v>1.21E-2</v>
      </c>
      <c r="F14" s="113">
        <f>PRICE($G$3,C14,B14,E14,$B$2,$B$3,$B$1)</f>
        <v>105.28790423934464</v>
      </c>
      <c r="G14" s="20">
        <f>COUPDAYBS($G$3,C14,$B$3, $B$1)</f>
        <v>86</v>
      </c>
      <c r="H14" s="20">
        <f>COUPDAYS($G$3,$C14, $B$3, $B$1)</f>
        <v>182.5</v>
      </c>
      <c r="I14" s="21">
        <f>G14/H14*B14*$B$2/$B$3</f>
        <v>0.53013698630136985</v>
      </c>
      <c r="J14" s="23">
        <f t="shared" si="4"/>
        <v>105.81804122564601</v>
      </c>
      <c r="K14" s="22">
        <f>Bond_ZeroRates($B$2,D14,B14,$B$3,$D$7:$D$16, $M$7:$M$16)</f>
        <v>105.8180542409702</v>
      </c>
      <c r="L14" s="39">
        <f t="shared" si="6"/>
        <v>1.3015324185516874E-5</v>
      </c>
      <c r="M14" s="38">
        <v>1.2050654352857995E-2</v>
      </c>
      <c r="N14" s="139">
        <f>(1+0.5*M14)^(-2*D14)</f>
        <v>0.93870979056691106</v>
      </c>
      <c r="O14" s="33"/>
      <c r="Q14" s="18">
        <f>Q12+364</f>
        <v>45338</v>
      </c>
      <c r="R14" s="145">
        <f>(COUPNUM($R$4,Q14,$B$3,$B$1)-COUPDAYBS($R$4,Q14,$B$3,$B$1)/COUPDAYS($R$4,Q14,$B$3,$B$1))/$B$3</f>
        <v>3.9753424657534246</v>
      </c>
      <c r="S14" s="146">
        <f t="shared" si="0"/>
        <v>1.2589926626907126E-2</v>
      </c>
      <c r="T14" s="126">
        <f t="shared" si="1"/>
        <v>0.95153872269364814</v>
      </c>
      <c r="U14" s="136">
        <f>(COUPNUM($U$4,Q14,$B$3,$B$1)-COUPDAYBS($U$4,Q14,$B$3,$B$1)/COUPDAYS($U$4,Q14,$B$3,$B$1))/$B$3</f>
        <v>3.956164383561644</v>
      </c>
      <c r="V14" s="146">
        <f t="shared" si="2"/>
        <v>9.1548890977650593E-3</v>
      </c>
      <c r="W14" s="97">
        <f t="shared" si="3"/>
        <v>0.96464557625952196</v>
      </c>
      <c r="X14" s="34"/>
      <c r="Y14" s="34"/>
      <c r="Z14" s="34"/>
      <c r="AA14" s="34"/>
      <c r="AB14" s="34"/>
    </row>
    <row r="15" spans="1:28" x14ac:dyDescent="0.35">
      <c r="A15" s="37" t="s">
        <v>29</v>
      </c>
      <c r="B15" s="17">
        <v>1.4999999999999999E-2</v>
      </c>
      <c r="C15" s="18">
        <v>46174</v>
      </c>
      <c r="D15" s="19">
        <f>(COUPNUM($G$3,C15,$B$3,$B$1)-COUPDAYBS($G$3,C15,$B$3,$B$1)/COUPDAYS($G$3,C15,$B$3,$B$1))/$B$3</f>
        <v>6.2643835616438359</v>
      </c>
      <c r="E15" s="118">
        <v>1.21E-2</v>
      </c>
      <c r="F15" s="113">
        <f>PRICE($G$3,C15,B15,E15,$B$2,$B$3,$B$1)</f>
        <v>101.74388942817409</v>
      </c>
      <c r="G15" s="20">
        <f>COUPDAYBS($G$3,C15,$B$3, $B$1)</f>
        <v>86</v>
      </c>
      <c r="H15" s="20">
        <f>COUPDAYS($G$3,$C15, $B$3, $B$1)</f>
        <v>182.5</v>
      </c>
      <c r="I15" s="21">
        <f>G15/H15*B15*$B$2/$B$3</f>
        <v>0.35342465753424657</v>
      </c>
      <c r="J15" s="23">
        <f t="shared" si="4"/>
        <v>102.09731408570833</v>
      </c>
      <c r="K15" s="22">
        <f>Bond_ZeroRates($B$2,D15,B15,$B$3,$D$7:$D$16, $M$7:$M$16)</f>
        <v>102.09728717084212</v>
      </c>
      <c r="L15" s="39">
        <f t="shared" si="6"/>
        <v>2.6914866211313893E-5</v>
      </c>
      <c r="M15" s="38">
        <v>1.207255156146683E-2</v>
      </c>
      <c r="N15" s="139">
        <f>(1+0.5*M15)^(-2*D15)</f>
        <v>0.92737269040015669</v>
      </c>
      <c r="O15" s="33"/>
      <c r="Q15" s="18">
        <f>Q13+365+2</f>
        <v>45523</v>
      </c>
      <c r="R15" s="145">
        <f>(COUPNUM($R$4,Q15,$B$3,$B$1)-COUPDAYBS($R$4,Q15,$B$3,$B$1)/COUPDAYS($R$4,Q15,$B$3,$B$1))/$B$3</f>
        <v>4.4835616438356167</v>
      </c>
      <c r="S15" s="146">
        <f t="shared" si="0"/>
        <v>1.2387033996603635E-2</v>
      </c>
      <c r="T15" s="126">
        <f t="shared" si="1"/>
        <v>0.94635958100383066</v>
      </c>
      <c r="U15" s="136">
        <f>(COUPNUM($U$4,Q15,$B$3,$B$1)-COUPDAYBS($U$4,Q15,$B$3,$B$1)/COUPDAYS($U$4,Q15,$B$3,$B$1))/$B$3</f>
        <v>4.4643835616438352</v>
      </c>
      <c r="V15" s="146">
        <f t="shared" si="2"/>
        <v>9.0207474048320038E-3</v>
      </c>
      <c r="W15" s="97">
        <f t="shared" si="3"/>
        <v>0.96076046873691612</v>
      </c>
      <c r="X15" s="34"/>
      <c r="Y15" s="34"/>
      <c r="Z15" s="34"/>
      <c r="AA15" s="34"/>
      <c r="AB15" s="34"/>
    </row>
    <row r="16" spans="1:28" ht="15" thickBot="1" x14ac:dyDescent="0.4">
      <c r="A16" s="40" t="s">
        <v>30</v>
      </c>
      <c r="B16" s="24">
        <v>0.01</v>
      </c>
      <c r="C16" s="25">
        <v>46539</v>
      </c>
      <c r="D16" s="26">
        <f>(COUPNUM($G$3,C16,$B$3,$B$1)-COUPDAYBS($G$3,C16,$B$3,$B$1)/COUPDAYS($G$3,C16,$B$3,$B$1))/$B$3</f>
        <v>7.2643835616438359</v>
      </c>
      <c r="E16" s="119">
        <v>1.23E-2</v>
      </c>
      <c r="F16" s="115">
        <f>PRICE($G$3,C16,B16,E16,$B$2,$B$3,$B$1)</f>
        <v>98.405960443052052</v>
      </c>
      <c r="G16" s="27">
        <f>COUPDAYBS($G$3,C16,$B$3, $B$1)</f>
        <v>86</v>
      </c>
      <c r="H16" s="27">
        <f>COUPDAYS($G$3,$C16, $B$3, $B$1)</f>
        <v>182.5</v>
      </c>
      <c r="I16" s="28">
        <f>G16/H16*B16*$B$2/$B$3</f>
        <v>0.23561643835616439</v>
      </c>
      <c r="J16" s="29">
        <f t="shared" si="4"/>
        <v>98.641576881408213</v>
      </c>
      <c r="K16" s="30">
        <f>Bond_ZeroRates($B$2,D16,B16,$B$3,$D$7:$D$16, $M$7:$M$16)</f>
        <v>98.641615745882106</v>
      </c>
      <c r="L16" s="41">
        <f t="shared" si="6"/>
        <v>3.8864473893340801E-5</v>
      </c>
      <c r="M16" s="133">
        <v>1.229057816159782E-2</v>
      </c>
      <c r="N16" s="140">
        <f>(1+0.5*M16)^(-2*D16)</f>
        <v>0.91483619065147226</v>
      </c>
      <c r="O16" s="33"/>
      <c r="Q16" s="18">
        <f>Q14+365+3</f>
        <v>45706</v>
      </c>
      <c r="R16" s="145">
        <f>(COUPNUM($R$4,Q16,$B$3,$B$1)-COUPDAYBS($R$4,Q16,$B$3,$B$1)/COUPDAYS($R$4,Q16,$B$3,$B$1))/$B$3</f>
        <v>4.9808219178082194</v>
      </c>
      <c r="S16" s="146">
        <f t="shared" si="0"/>
        <v>1.2188516409541189E-2</v>
      </c>
      <c r="T16" s="126">
        <f t="shared" si="1"/>
        <v>0.94129211891918452</v>
      </c>
      <c r="U16" s="136">
        <f>(COUPNUM($U$4,Q16,$B$3,$B$1)-COUPDAYBS($U$4,Q16,$B$3,$B$1)/COUPDAYS($U$4,Q16,$B$3,$B$1))/$B$3</f>
        <v>4.9616438356164387</v>
      </c>
      <c r="V16" s="146">
        <f t="shared" si="2"/>
        <v>8.8894982551427897E-3</v>
      </c>
      <c r="W16" s="97">
        <f t="shared" si="3"/>
        <v>0.95695913711776259</v>
      </c>
      <c r="X16" s="34"/>
      <c r="Y16" s="34"/>
      <c r="Z16" s="34"/>
      <c r="AA16" s="34"/>
      <c r="AB16" s="34"/>
    </row>
    <row r="17" spans="1:28" x14ac:dyDescent="0.35">
      <c r="A17" s="79"/>
      <c r="B17" s="79"/>
      <c r="C17" s="79"/>
      <c r="D17" s="79"/>
      <c r="E17" s="79"/>
      <c r="F17" s="79"/>
      <c r="G17" s="79"/>
      <c r="H17" s="79"/>
      <c r="I17" s="79"/>
      <c r="J17" s="31" t="s">
        <v>7</v>
      </c>
      <c r="K17" s="31"/>
      <c r="L17" s="32">
        <f>SUM(L7:L16)</f>
        <v>2.2732937526370733E-4</v>
      </c>
      <c r="M17" s="129"/>
      <c r="N17" s="141"/>
      <c r="O17" s="33"/>
      <c r="Q17" s="18">
        <f>Q15+365-1</f>
        <v>45887</v>
      </c>
      <c r="R17" s="145">
        <f>(COUPNUM($R$4,Q17,$B$3,$B$1)-COUPDAYBS($R$4,Q17,$B$3,$B$1)/COUPDAYS($R$4,Q17,$B$3,$B$1))/$B$3</f>
        <v>5.4808219178082194</v>
      </c>
      <c r="S17" s="146">
        <f t="shared" si="0"/>
        <v>1.2055393748693881E-2</v>
      </c>
      <c r="T17" s="126">
        <f t="shared" si="1"/>
        <v>0.93625600724314784</v>
      </c>
      <c r="U17" s="136">
        <f>(COUPNUM($U$4,Q17,$B$3,$B$1)-COUPDAYBS($U$4,Q17,$B$3,$B$1)/COUPDAYS($U$4,Q17,$B$3,$B$1))/$B$3</f>
        <v>5.4616438356164387</v>
      </c>
      <c r="V17" s="146">
        <f t="shared" si="2"/>
        <v>8.8923151234003312E-3</v>
      </c>
      <c r="W17" s="97">
        <f t="shared" si="3"/>
        <v>0.95268468824835451</v>
      </c>
      <c r="X17" s="34"/>
      <c r="Y17" s="34"/>
      <c r="Z17" s="34"/>
      <c r="AA17" s="34"/>
      <c r="AB17" s="34"/>
    </row>
    <row r="18" spans="1:28" ht="15" thickBot="1" x14ac:dyDescent="0.4">
      <c r="A18" s="20"/>
      <c r="B18" s="8"/>
      <c r="E18" s="80" t="s">
        <v>41</v>
      </c>
      <c r="F18" s="80"/>
      <c r="G18" s="93">
        <v>43893</v>
      </c>
      <c r="H18" s="93"/>
      <c r="I18" s="13"/>
      <c r="J18" s="7"/>
      <c r="K18" s="7"/>
      <c r="L18" s="7"/>
      <c r="M18" s="129"/>
      <c r="O18" s="33"/>
      <c r="Q18" s="18">
        <f t="shared" si="5"/>
        <v>46071</v>
      </c>
      <c r="R18" s="145">
        <f>(COUPNUM($R$4,Q18,$B$3,$B$1)-COUPDAYBS($R$4,Q18,$B$3,$B$1)/COUPDAYS($R$4,Q18,$B$3,$B$1))/$B$3</f>
        <v>5.9808219178082194</v>
      </c>
      <c r="S18" s="146">
        <f t="shared" si="0"/>
        <v>1.2066342352998298E-2</v>
      </c>
      <c r="T18" s="126">
        <f t="shared" si="1"/>
        <v>0.93058745715977065</v>
      </c>
      <c r="U18" s="136">
        <f>(COUPNUM($U$4,Q18,$B$3,$B$1)-COUPDAYBS($U$4,Q18,$B$3,$B$1)/COUPDAYS($U$4,Q18,$B$3,$B$1))/$B$3</f>
        <v>5.9616438356164387</v>
      </c>
      <c r="V18" s="146">
        <f t="shared" si="2"/>
        <v>8.9517318088794574E-3</v>
      </c>
      <c r="W18" s="97">
        <f t="shared" si="3"/>
        <v>0.94813095938514524</v>
      </c>
      <c r="X18" s="34"/>
      <c r="Y18" s="34"/>
      <c r="Z18" s="34"/>
      <c r="AA18" s="34"/>
      <c r="AB18" s="34"/>
    </row>
    <row r="19" spans="1:28" x14ac:dyDescent="0.35">
      <c r="A19" s="16"/>
      <c r="B19" s="16"/>
      <c r="C19" s="95"/>
      <c r="D19" s="95"/>
      <c r="E19" s="102"/>
      <c r="F19" s="103"/>
      <c r="G19" s="98" t="s">
        <v>44</v>
      </c>
      <c r="H19" s="98"/>
      <c r="I19" s="99"/>
      <c r="J19" s="94" t="s">
        <v>20</v>
      </c>
      <c r="K19" s="94" t="s">
        <v>50</v>
      </c>
      <c r="L19" s="94" t="s">
        <v>16</v>
      </c>
      <c r="M19" s="130" t="s">
        <v>18</v>
      </c>
      <c r="N19" s="135"/>
      <c r="O19" s="33"/>
      <c r="P19" s="33"/>
      <c r="Q19" s="18">
        <f t="shared" si="5"/>
        <v>46252</v>
      </c>
      <c r="R19" s="145">
        <f>(COUPNUM($R$4,Q19,$B$3,$B$1)-COUPDAYBS($R$4,Q19,$B$3,$B$1)/COUPDAYS($R$4,Q19,$B$3,$B$1))/$B$3</f>
        <v>6.4808219178082194</v>
      </c>
      <c r="S19" s="146">
        <f t="shared" si="0"/>
        <v>1.2119740880399292E-2</v>
      </c>
      <c r="T19" s="126">
        <f t="shared" si="1"/>
        <v>0.92465931100249621</v>
      </c>
      <c r="U19" s="136">
        <f>(COUPNUM($U$4,Q19,$B$3,$B$1)-COUPDAYBS($U$4,Q19,$B$3,$B$1)/COUPDAYS($U$4,Q19,$B$3,$B$1))/$B$3</f>
        <v>6.4616438356164387</v>
      </c>
      <c r="V19" s="146">
        <f>PWLinear(U19,$D$22:$D$31,$M$22:$M$31)</f>
        <v>9.0984788940886487E-3</v>
      </c>
      <c r="W19" s="97">
        <f>PWLinear(U19,$D$22:$D$31,$N$22:$N$31)</f>
        <v>0.94295926558325105</v>
      </c>
    </row>
    <row r="20" spans="1:28" x14ac:dyDescent="0.35">
      <c r="A20" s="20"/>
      <c r="B20" s="20"/>
      <c r="C20" s="97" t="s">
        <v>6</v>
      </c>
      <c r="D20" s="97" t="s">
        <v>6</v>
      </c>
      <c r="E20" s="104" t="s">
        <v>15</v>
      </c>
      <c r="F20" s="105"/>
      <c r="G20" s="100" t="s">
        <v>45</v>
      </c>
      <c r="H20" s="100" t="s">
        <v>5</v>
      </c>
      <c r="I20" s="101" t="s">
        <v>47</v>
      </c>
      <c r="J20" s="96" t="s">
        <v>16</v>
      </c>
      <c r="K20" s="96" t="s">
        <v>16</v>
      </c>
      <c r="L20" s="96" t="s">
        <v>1</v>
      </c>
      <c r="M20" s="131" t="s">
        <v>53</v>
      </c>
      <c r="N20" s="136" t="s">
        <v>14</v>
      </c>
      <c r="O20" s="33"/>
      <c r="P20" s="33"/>
      <c r="Q20" s="18">
        <f>Q18+365</f>
        <v>46436</v>
      </c>
      <c r="R20" s="145">
        <f>(COUPNUM($R$4,Q20,$B$3,$B$1)-COUPDAYBS($R$4,Q20,$B$3,$B$1)/COUPDAYS($R$4,Q20,$B$3,$B$1))/$B$3</f>
        <v>6.9808219178082194</v>
      </c>
      <c r="S20" s="146">
        <f t="shared" si="0"/>
        <v>1.2228754180464787E-2</v>
      </c>
      <c r="T20" s="126">
        <f t="shared" si="1"/>
        <v>0.91839106112815405</v>
      </c>
      <c r="U20" s="136">
        <f>(COUPNUM($U$4,Q20,$B$3,$B$1)-COUPDAYBS($U$4,Q20,$B$3,$B$1)/COUPDAYS($U$4,Q20,$B$3,$B$1))/$B$3</f>
        <v>6.9616438356164387</v>
      </c>
      <c r="V20" s="146">
        <f t="shared" si="2"/>
        <v>9.359639857425198E-3</v>
      </c>
      <c r="W20" s="97">
        <f t="shared" si="3"/>
        <v>0.9369779594882699</v>
      </c>
    </row>
    <row r="21" spans="1:28" ht="17" thickBot="1" x14ac:dyDescent="0.4">
      <c r="A21" s="90" t="s">
        <v>38</v>
      </c>
      <c r="B21" s="91" t="s">
        <v>5</v>
      </c>
      <c r="C21" s="92" t="s">
        <v>17</v>
      </c>
      <c r="D21" s="92" t="s">
        <v>10</v>
      </c>
      <c r="E21" s="106" t="s">
        <v>19</v>
      </c>
      <c r="F21" s="107" t="s">
        <v>16</v>
      </c>
      <c r="G21" s="92" t="s">
        <v>5</v>
      </c>
      <c r="H21" s="92" t="s">
        <v>46</v>
      </c>
      <c r="I21" s="92" t="s">
        <v>48</v>
      </c>
      <c r="J21" s="92" t="s">
        <v>49</v>
      </c>
      <c r="K21" s="92" t="s">
        <v>51</v>
      </c>
      <c r="L21" s="92" t="s">
        <v>52</v>
      </c>
      <c r="M21" s="132" t="s">
        <v>12</v>
      </c>
      <c r="N21" s="137" t="s">
        <v>54</v>
      </c>
      <c r="O21" s="33"/>
      <c r="P21" s="33"/>
      <c r="Q21" s="25">
        <v>46443</v>
      </c>
      <c r="R21" s="147">
        <f>(COUPNUM($R$4,Q21,$B$3,$B$1)-COUPDAYBS($R$4,Q21,$B$3,$B$1)/COUPDAYS($R$4,Q21,$B$3,$B$1))/$B$3</f>
        <v>7</v>
      </c>
      <c r="S21" s="148">
        <f t="shared" si="0"/>
        <v>1.2232935512522093E-2</v>
      </c>
      <c r="T21" s="128">
        <f t="shared" si="1"/>
        <v>0.91815063510557648</v>
      </c>
      <c r="U21" s="149">
        <f>(COUPNUM($U$4,Q21,$B$3,$B$1)-COUPDAYBS($U$4,Q21,$B$3,$B$1)/COUPDAYS($U$4,Q21,$B$3,$B$1))/$B$3</f>
        <v>6.9808219178082194</v>
      </c>
      <c r="V21" s="148">
        <f t="shared" si="2"/>
        <v>9.3696569902655038E-3</v>
      </c>
      <c r="W21" s="122">
        <f t="shared" si="3"/>
        <v>0.93674853952846249</v>
      </c>
    </row>
    <row r="22" spans="1:28" ht="16.5" x14ac:dyDescent="0.35">
      <c r="A22" s="81" t="s">
        <v>37</v>
      </c>
      <c r="B22" s="71"/>
      <c r="C22" s="72"/>
      <c r="D22" s="84">
        <f>D7</f>
        <v>8.3333333333333329E-2</v>
      </c>
      <c r="E22" s="108">
        <v>1.34E-2</v>
      </c>
      <c r="F22" s="109"/>
      <c r="G22" s="61"/>
      <c r="H22" s="61"/>
      <c r="I22" s="62"/>
      <c r="J22" s="63"/>
      <c r="K22" s="64"/>
      <c r="L22" s="65"/>
      <c r="M22" s="36">
        <f>E22</f>
        <v>1.34E-2</v>
      </c>
      <c r="N22" s="138">
        <f>(1+0.5*M22)^(-2*D22)</f>
        <v>0.99888767663189282</v>
      </c>
      <c r="O22" s="33"/>
      <c r="P22" s="33"/>
      <c r="Q22" s="18"/>
    </row>
    <row r="23" spans="1:28" x14ac:dyDescent="0.35">
      <c r="A23" s="82" t="s">
        <v>22</v>
      </c>
      <c r="B23" s="73"/>
      <c r="C23" s="74"/>
      <c r="D23" s="85">
        <f t="shared" ref="D23:E23" si="7">D8</f>
        <v>0.25</v>
      </c>
      <c r="E23" s="110">
        <v>1.24E-2</v>
      </c>
      <c r="F23" s="111"/>
      <c r="G23" s="66"/>
      <c r="H23" s="66"/>
      <c r="I23" s="67"/>
      <c r="J23" s="68"/>
      <c r="K23" s="69"/>
      <c r="L23" s="70"/>
      <c r="M23" s="38">
        <f>E23</f>
        <v>1.24E-2</v>
      </c>
      <c r="N23" s="139">
        <f>(1+0.5*M23)^(-2*D23)</f>
        <v>0.99691434092429865</v>
      </c>
      <c r="O23" s="33"/>
      <c r="P23" s="33"/>
      <c r="Q23" s="18"/>
    </row>
    <row r="24" spans="1:28" x14ac:dyDescent="0.35">
      <c r="A24" s="82" t="s">
        <v>23</v>
      </c>
      <c r="B24" s="73"/>
      <c r="C24" s="74"/>
      <c r="D24" s="85">
        <f t="shared" ref="D24:E24" si="8">D9</f>
        <v>0.5</v>
      </c>
      <c r="E24" s="110">
        <v>1.23E-2</v>
      </c>
      <c r="F24" s="111"/>
      <c r="G24" s="66"/>
      <c r="H24" s="66"/>
      <c r="I24" s="67"/>
      <c r="J24" s="68"/>
      <c r="K24" s="69"/>
      <c r="L24" s="70"/>
      <c r="M24" s="38">
        <f>E24</f>
        <v>1.23E-2</v>
      </c>
      <c r="N24" s="139">
        <f>(1+0.5*M24)^(-2*D24)</f>
        <v>0.9938875913134223</v>
      </c>
      <c r="O24" s="33"/>
      <c r="P24" s="33"/>
      <c r="Q24" s="18"/>
    </row>
    <row r="25" spans="1:28" x14ac:dyDescent="0.35">
      <c r="A25" s="82" t="s">
        <v>24</v>
      </c>
      <c r="B25" s="73"/>
      <c r="C25" s="74"/>
      <c r="D25" s="85">
        <f t="shared" ref="D25:E25" si="9">D10</f>
        <v>1</v>
      </c>
      <c r="E25" s="110">
        <v>1.175E-2</v>
      </c>
      <c r="F25" s="111"/>
      <c r="G25" s="66"/>
      <c r="H25" s="66"/>
      <c r="I25" s="67"/>
      <c r="J25" s="68"/>
      <c r="K25" s="69"/>
      <c r="L25" s="70"/>
      <c r="M25" s="38">
        <f>E25</f>
        <v>1.175E-2</v>
      </c>
      <c r="N25" s="139">
        <f>(1+0.5*M25)^(-2*D25)</f>
        <v>0.98835274167274589</v>
      </c>
      <c r="O25" s="33"/>
      <c r="P25" s="33"/>
    </row>
    <row r="26" spans="1:28" x14ac:dyDescent="0.35">
      <c r="A26" s="82" t="s">
        <v>25</v>
      </c>
      <c r="B26" s="73">
        <f>B11</f>
        <v>1.4999999999999999E-2</v>
      </c>
      <c r="C26" s="74">
        <f t="shared" ref="C26:C31" si="10">C11</f>
        <v>44593</v>
      </c>
      <c r="D26" s="86">
        <f>(COUPNUM($G$18,C26,$B$3,$B$1)-COUPDAYBS($G$18,C26,$B$3,$B$1)/COUPDAYS($G$18,C26,$B$3,$B$1))/$B$3</f>
        <v>1.9150684931506849</v>
      </c>
      <c r="E26" s="112">
        <v>9.7999999999999997E-3</v>
      </c>
      <c r="F26" s="113">
        <f>PRICE($G$18,C26,B26,E26,$B$2,$B$3,$B$1)</f>
        <v>100.98390401553782</v>
      </c>
      <c r="G26" s="20">
        <f>COUPDAYBS($G$18,C26,$B$3, $B$1)</f>
        <v>31</v>
      </c>
      <c r="H26" s="20">
        <f>COUPDAYS($G$18,$C26, $B$3, $B$1)</f>
        <v>182.5</v>
      </c>
      <c r="I26" s="21">
        <f>G26/H26*B26*$B$2/$B$3</f>
        <v>0.12739726027397258</v>
      </c>
      <c r="J26" s="89">
        <f>I26+F26</f>
        <v>101.11130127581178</v>
      </c>
      <c r="K26" s="22">
        <f>Bond_ZeroRates($B$2,D26,B26,$B$3,$D$22:$D$31, $M$22:$M$31)</f>
        <v>101.11126653770293</v>
      </c>
      <c r="L26" s="39">
        <f>ABS(K26-J26)</f>
        <v>3.4738108851684046E-5</v>
      </c>
      <c r="M26" s="38">
        <v>9.7828706040753947E-3</v>
      </c>
      <c r="N26" s="139">
        <f>(1+0.5*M26)^(-2*D26)</f>
        <v>0.98148436416514984</v>
      </c>
      <c r="O26" s="33"/>
      <c r="P26" s="33"/>
    </row>
    <row r="27" spans="1:28" x14ac:dyDescent="0.35">
      <c r="A27" s="82" t="s">
        <v>26</v>
      </c>
      <c r="B27" s="73">
        <f t="shared" ref="B27:C27" si="11">B12</f>
        <v>0.02</v>
      </c>
      <c r="C27" s="74">
        <f t="shared" si="10"/>
        <v>45170</v>
      </c>
      <c r="D27" s="86">
        <f>(COUPNUM($G$18,C27,$B$3,$B$1)-COUPDAYBS($G$18,C27,$B$3,$B$1)/COUPDAYS($G$18,C27,$B$3,$B$1))/$B$3</f>
        <v>3.4945205479452053</v>
      </c>
      <c r="E27" s="112">
        <v>9.2999999999999992E-3</v>
      </c>
      <c r="F27" s="113">
        <f>PRICE($G$18,C27,B27,E27,$B$2,$B$3,$B$1)</f>
        <v>103.67061574858423</v>
      </c>
      <c r="G27" s="20">
        <f>COUPDAYBS($G$18,C27,$B$3, $B$1)</f>
        <v>2</v>
      </c>
      <c r="H27" s="20">
        <f>COUPDAYS($G$18,$C27, $B$3, $B$1)</f>
        <v>182.5</v>
      </c>
      <c r="I27" s="21">
        <f>G27/H27*B27*$B$2/$B$3</f>
        <v>1.0958904109589041E-2</v>
      </c>
      <c r="J27" s="23">
        <f t="shared" ref="J27:J31" si="12">I27+F27</f>
        <v>103.68157465269381</v>
      </c>
      <c r="K27" s="22">
        <f>Bond_ZeroRates($B$2,D27,B27,$B$3,$D$22:$D$31, $M$22:$M$31)</f>
        <v>103.68157276884463</v>
      </c>
      <c r="L27" s="39">
        <f t="shared" ref="L27:L31" si="13">ABS(K27-J27)</f>
        <v>1.8838491797623647E-6</v>
      </c>
      <c r="M27" s="38">
        <v>9.2767374819117954E-3</v>
      </c>
      <c r="N27" s="139">
        <f>(1+0.5*M27)^(-2*D27)</f>
        <v>0.96817463619245514</v>
      </c>
      <c r="O27" s="33"/>
      <c r="P27" s="33"/>
    </row>
    <row r="28" spans="1:28" x14ac:dyDescent="0.35">
      <c r="A28" s="82" t="s">
        <v>27</v>
      </c>
      <c r="B28" s="73">
        <f t="shared" ref="B28:C28" si="14">B13</f>
        <v>1.2500000000000001E-2</v>
      </c>
      <c r="C28" s="74">
        <f t="shared" si="10"/>
        <v>45717</v>
      </c>
      <c r="D28" s="86">
        <f>(COUPNUM($G$18,C28,$B$3,$B$1)-COUPDAYBS($G$18,C28,$B$3,$B$1)/COUPDAYS($G$18,C28,$B$3,$B$1))/$B$3</f>
        <v>4.9945205479452053</v>
      </c>
      <c r="E28" s="112">
        <v>8.8999999999999999E-3</v>
      </c>
      <c r="F28" s="113">
        <f>PRICE($G$18,C28,B28,E28,$B$2,$B$3,$B$1)</f>
        <v>101.75482015672088</v>
      </c>
      <c r="G28" s="20">
        <f>COUPDAYBS($G$18,C28,$B$3, $B$1)</f>
        <v>2</v>
      </c>
      <c r="H28" s="20">
        <f>COUPDAYS($G$18,$C28, $B$3, $B$1)</f>
        <v>182.5</v>
      </c>
      <c r="I28" s="21">
        <f>G28/H28*B28*$B$2/$B$3</f>
        <v>6.8493150684931512E-3</v>
      </c>
      <c r="J28" s="89">
        <f>I28+F28</f>
        <v>101.76166947178938</v>
      </c>
      <c r="K28" s="22">
        <f>Bond_ZeroRates($B$2,D28,B28,$B$3,$D$22:$D$31, $M$22:$M$31)</f>
        <v>101.76166601035015</v>
      </c>
      <c r="L28" s="39">
        <f>ABS(K28-J28)</f>
        <v>3.4614392205867262E-6</v>
      </c>
      <c r="M28" s="38">
        <v>8.8808206254112707E-3</v>
      </c>
      <c r="N28" s="139">
        <f>(1+0.5*M28)^(-2*D28)</f>
        <v>0.9567078094074053</v>
      </c>
      <c r="O28" s="33"/>
      <c r="P28" s="33"/>
    </row>
    <row r="29" spans="1:28" x14ac:dyDescent="0.35">
      <c r="A29" s="82" t="s">
        <v>28</v>
      </c>
      <c r="B29" s="73">
        <f t="shared" ref="B29:C29" si="15">B14</f>
        <v>2.2499999999999999E-2</v>
      </c>
      <c r="C29" s="74">
        <f t="shared" si="10"/>
        <v>45809</v>
      </c>
      <c r="D29" s="86">
        <f>(COUPNUM($G$18,C29,$B$3,$B$1)-COUPDAYBS($G$18,C29,$B$3,$B$1)/COUPDAYS($G$18,C29,$B$3,$B$1))/$B$3</f>
        <v>5.2452054794520544</v>
      </c>
      <c r="E29" s="112">
        <v>8.8999999999999999E-3</v>
      </c>
      <c r="F29" s="113">
        <f>PRICE($G$18,C29,B29,E29,$B$2,$B$3,$B$1)</f>
        <v>106.95380846225112</v>
      </c>
      <c r="G29" s="20">
        <f>COUPDAYBS($G$18,C29,$B$3, $B$1)</f>
        <v>93</v>
      </c>
      <c r="H29" s="20">
        <f>COUPDAYS($G$18,$C29, $B$3, $B$1)</f>
        <v>182.5</v>
      </c>
      <c r="I29" s="21">
        <f>G29/H29*B29*$B$2/$B$3</f>
        <v>0.57328767123287672</v>
      </c>
      <c r="J29" s="23">
        <f t="shared" si="12"/>
        <v>107.52709613348399</v>
      </c>
      <c r="K29" s="22">
        <f>Bond_ZeroRates($B$2,D29,B29,$B$3,$D$22:$D$31, $M$22:$M$31)</f>
        <v>107.52709481359612</v>
      </c>
      <c r="L29" s="39">
        <f t="shared" si="13"/>
        <v>1.3198878718867491E-6</v>
      </c>
      <c r="M29" s="38">
        <v>8.8665950239326542E-3</v>
      </c>
      <c r="N29" s="139">
        <f>(1+0.5*M29)^(-2*D29)</f>
        <v>0.95465589142749718</v>
      </c>
      <c r="O29" s="33"/>
      <c r="P29" s="33"/>
    </row>
    <row r="30" spans="1:28" x14ac:dyDescent="0.35">
      <c r="A30" s="82" t="s">
        <v>29</v>
      </c>
      <c r="B30" s="73">
        <f t="shared" ref="B30:C30" si="16">B15</f>
        <v>1.4999999999999999E-2</v>
      </c>
      <c r="C30" s="74">
        <f t="shared" si="10"/>
        <v>46174</v>
      </c>
      <c r="D30" s="86">
        <f>(COUPNUM($G$18,C30,$B$3,$B$1)-COUPDAYBS($G$18,C30,$B$3,$B$1)/COUPDAYS($G$18,C30,$B$3,$B$1))/$B$3</f>
        <v>6.2452054794520544</v>
      </c>
      <c r="E30" s="112">
        <v>8.9999999999999993E-3</v>
      </c>
      <c r="F30" s="113">
        <f>PRICE($G$18,C30,B30,E30,$B$2,$B$3,$B$1)</f>
        <v>103.63539419906097</v>
      </c>
      <c r="G30" s="20">
        <f>COUPDAYBS($G$18,C30,$B$3, $B$1)</f>
        <v>93</v>
      </c>
      <c r="H30" s="20">
        <f>COUPDAYS($G$18,$C30, $B$3, $B$1)</f>
        <v>182.5</v>
      </c>
      <c r="I30" s="21">
        <f>G30/H30*B30*$B$2/$B$3</f>
        <v>0.38219178082191779</v>
      </c>
      <c r="J30" s="23">
        <f t="shared" si="12"/>
        <v>104.01758597988288</v>
      </c>
      <c r="K30" s="22">
        <f>Bond_ZeroRates($B$2,D30,B30,$B$3,$D$22:$D$31, $M$22:$M$31)</f>
        <v>104.01759798516407</v>
      </c>
      <c r="L30" s="39">
        <f t="shared" si="13"/>
        <v>1.2005281192273287E-5</v>
      </c>
      <c r="M30" s="38">
        <v>8.9854283948909083E-3</v>
      </c>
      <c r="N30" s="139">
        <f>(1+0.5*M30)^(-2*D30)</f>
        <v>0.94554843370107855</v>
      </c>
      <c r="O30" s="33"/>
      <c r="P30" s="33"/>
    </row>
    <row r="31" spans="1:28" ht="15" thickBot="1" x14ac:dyDescent="0.4">
      <c r="A31" s="83" t="s">
        <v>30</v>
      </c>
      <c r="B31" s="87">
        <f t="shared" ref="B31:C31" si="17">B16</f>
        <v>0.01</v>
      </c>
      <c r="C31" s="88">
        <f t="shared" si="10"/>
        <v>46539</v>
      </c>
      <c r="D31" s="86">
        <f>(COUPNUM($G$18,C31,$B$3,$B$1)-COUPDAYBS($G$18,C31,$B$3,$B$1)/COUPDAYS($G$18,C31,$B$3,$B$1))/$B$3</f>
        <v>7.2452054794520544</v>
      </c>
      <c r="E31" s="114">
        <v>9.4999999999999998E-3</v>
      </c>
      <c r="F31" s="115">
        <f>PRICE($G$18,C31,B31,E31,$B$2,$B$3,$B$1)</f>
        <v>100.3489776252101</v>
      </c>
      <c r="G31" s="27">
        <f>COUPDAYBS($G$18,C31,$B$3, $B$1)</f>
        <v>93</v>
      </c>
      <c r="H31" s="27">
        <f>COUPDAYS($G$18,$C31, $B$3, $B$1)</f>
        <v>182.5</v>
      </c>
      <c r="I31" s="28">
        <f>G31/H31*B31*$B$2/$B$3</f>
        <v>0.25479452054794521</v>
      </c>
      <c r="J31" s="29">
        <f t="shared" si="12"/>
        <v>100.60377214575804</v>
      </c>
      <c r="K31" s="30">
        <f>Bond_ZeroRates($B$2,D31,B31,$B$3,$D$22:$D$31, $M$22:$M$31)</f>
        <v>100.60371319443988</v>
      </c>
      <c r="L31" s="41">
        <f t="shared" si="13"/>
        <v>5.8951318166577948E-5</v>
      </c>
      <c r="M31" s="133">
        <v>9.5077503215640086E-3</v>
      </c>
      <c r="N31" s="140">
        <f>(1+0.5*M31)^(-2*D31)</f>
        <v>0.93358582151111624</v>
      </c>
      <c r="O31" s="33"/>
      <c r="P31" s="33"/>
    </row>
    <row r="32" spans="1:28" ht="16.5" x14ac:dyDescent="0.35">
      <c r="A32" s="79" t="s">
        <v>39</v>
      </c>
      <c r="B32" s="79"/>
      <c r="C32" s="79"/>
      <c r="D32" s="79"/>
      <c r="E32" s="79"/>
      <c r="F32" s="79"/>
      <c r="G32" s="79"/>
      <c r="H32" s="79"/>
      <c r="I32" s="79"/>
      <c r="J32" s="31" t="s">
        <v>7</v>
      </c>
      <c r="K32" s="31"/>
      <c r="L32" s="32">
        <f>SUM(L22:L31)</f>
        <v>1.1235988448277112E-4</v>
      </c>
      <c r="M32" s="129"/>
      <c r="N32" s="141"/>
      <c r="O32" s="33"/>
      <c r="P32" s="33"/>
    </row>
    <row r="33" spans="1:32" ht="16.5" x14ac:dyDescent="0.35">
      <c r="A33" s="78" t="s">
        <v>40</v>
      </c>
      <c r="B33" s="78"/>
      <c r="C33" s="78"/>
      <c r="D33" s="78"/>
      <c r="E33" s="78"/>
      <c r="F33" s="78"/>
      <c r="G33" s="78"/>
      <c r="H33" s="78"/>
      <c r="I33" s="78"/>
      <c r="J33" s="78"/>
      <c r="K33" s="78"/>
      <c r="O33" s="33"/>
      <c r="P33" s="33"/>
    </row>
    <row r="34" spans="1:32" x14ac:dyDescent="0.35">
      <c r="O34" s="33"/>
      <c r="P34" s="33"/>
      <c r="T34" s="33" t="s">
        <v>0</v>
      </c>
    </row>
    <row r="35" spans="1:32" x14ac:dyDescent="0.35">
      <c r="O35" s="33"/>
      <c r="P35" s="33"/>
    </row>
    <row r="36" spans="1:32" x14ac:dyDescent="0.35">
      <c r="O36" s="33"/>
      <c r="P36" s="33"/>
    </row>
    <row r="37" spans="1:32" x14ac:dyDescent="0.35">
      <c r="O37" s="33"/>
      <c r="P37" s="33"/>
    </row>
    <row r="38" spans="1:32" x14ac:dyDescent="0.35">
      <c r="O38" s="33"/>
      <c r="P38" s="33"/>
    </row>
    <row r="39" spans="1:32" x14ac:dyDescent="0.35">
      <c r="O39" s="33"/>
      <c r="P39" s="33"/>
    </row>
    <row r="40" spans="1:32" x14ac:dyDescent="0.35">
      <c r="O40" s="33"/>
      <c r="P40" s="33"/>
    </row>
    <row r="41" spans="1:32" ht="15" thickBot="1" x14ac:dyDescent="0.4">
      <c r="O41" s="33"/>
      <c r="P41" s="33"/>
    </row>
    <row r="42" spans="1:32" ht="43.5" x14ac:dyDescent="0.35">
      <c r="O42" s="33"/>
      <c r="P42" s="33"/>
      <c r="AA42" s="42" t="s">
        <v>6</v>
      </c>
      <c r="AB42" s="76" t="s">
        <v>36</v>
      </c>
      <c r="AC42" s="43" t="s">
        <v>6</v>
      </c>
      <c r="AD42" s="75" t="s">
        <v>9</v>
      </c>
      <c r="AE42" s="42" t="s">
        <v>6</v>
      </c>
      <c r="AF42" s="75" t="s">
        <v>9</v>
      </c>
    </row>
    <row r="43" spans="1:32" ht="15" thickBot="1" x14ac:dyDescent="0.4">
      <c r="O43" s="33"/>
      <c r="P43" s="33"/>
      <c r="AA43" s="44" t="s">
        <v>10</v>
      </c>
      <c r="AB43" s="45" t="s">
        <v>11</v>
      </c>
      <c r="AC43" s="46" t="s">
        <v>10</v>
      </c>
      <c r="AD43" s="45" t="s">
        <v>11</v>
      </c>
      <c r="AE43" s="44" t="s">
        <v>10</v>
      </c>
      <c r="AF43" s="45" t="s">
        <v>11</v>
      </c>
    </row>
    <row r="44" spans="1:32" x14ac:dyDescent="0.35">
      <c r="O44" s="33"/>
      <c r="P44" s="33"/>
      <c r="AA44" s="48">
        <v>0</v>
      </c>
      <c r="AB44" s="49">
        <f>AB45</f>
        <v>1.6299999999999999E-2</v>
      </c>
      <c r="AC44" s="50">
        <f>AA68+0.5</f>
        <v>8</v>
      </c>
      <c r="AD44" s="51">
        <f>PWLinear(AC44,$D$7:$D$16,$M$7:$M$16)</f>
        <v>1.229057816159782E-2</v>
      </c>
      <c r="AE44" s="50">
        <f>AC68+0.5</f>
        <v>19</v>
      </c>
      <c r="AF44" s="51">
        <f>PWLinear(AE44,$D$7:$D$16,$M$7:$M$16)</f>
        <v>1.229057816159782E-2</v>
      </c>
    </row>
    <row r="45" spans="1:32" x14ac:dyDescent="0.35">
      <c r="O45" s="33"/>
      <c r="P45" s="33"/>
      <c r="AA45" s="52">
        <f>D7</f>
        <v>8.3333333333333329E-2</v>
      </c>
      <c r="AB45" s="53">
        <f>PWLinear(AA45,$D$7:$D$16,$M$7:$M$16)</f>
        <v>1.6299999999999999E-2</v>
      </c>
      <c r="AC45" s="54">
        <f>AC44+0.5</f>
        <v>8.5</v>
      </c>
      <c r="AD45" s="55">
        <f>PWLinear(AC45,$D$7:$D$16,$M$7:$M$16)</f>
        <v>1.229057816159782E-2</v>
      </c>
      <c r="AE45" s="54">
        <f>AE44+0.5</f>
        <v>19.5</v>
      </c>
      <c r="AF45" s="55">
        <f>PWLinear(AE45,$D$7:$D$16,$M$7:$M$16)</f>
        <v>1.229057816159782E-2</v>
      </c>
    </row>
    <row r="46" spans="1:32" x14ac:dyDescent="0.35">
      <c r="O46" s="33"/>
      <c r="P46" s="33"/>
      <c r="AA46" s="56">
        <v>0.5</v>
      </c>
      <c r="AB46" s="55">
        <f>PWLinear(AA46,$D$7:$D$16,$M$7:$M$16)</f>
        <v>1.5900000000000001E-2</v>
      </c>
      <c r="AC46" s="54">
        <f>AC45+0.5</f>
        <v>9</v>
      </c>
      <c r="AD46" s="55">
        <f>PWLinear(AC46,$D$7:$D$16,$M$7:$M$16)</f>
        <v>1.229057816159782E-2</v>
      </c>
      <c r="AE46" s="54">
        <f t="shared" ref="AE46:AE47" si="18">AE45+0.5</f>
        <v>20</v>
      </c>
      <c r="AF46" s="55">
        <f>PWLinear(AE46,$D$7:$D$16,$M$7:$M$16)</f>
        <v>1.229057816159782E-2</v>
      </c>
    </row>
    <row r="47" spans="1:32" x14ac:dyDescent="0.35">
      <c r="O47" s="33"/>
      <c r="P47" s="33"/>
      <c r="AA47" s="52">
        <f>D8</f>
        <v>0.25</v>
      </c>
      <c r="AB47" s="53">
        <f>PWLinear(AA47,$D$7:$D$16,$M$7:$M$16)</f>
        <v>1.61E-2</v>
      </c>
      <c r="AC47" s="57">
        <f>D16</f>
        <v>7.2643835616438359</v>
      </c>
      <c r="AD47" s="53">
        <f>PWLinear(AC47,$D$7:$D$16,$M$7:$M$16)</f>
        <v>1.229057816159782E-2</v>
      </c>
      <c r="AE47" s="54">
        <f t="shared" si="18"/>
        <v>20.5</v>
      </c>
      <c r="AF47" s="55">
        <f>PWLinear(AE47,$D$7:$D$16,$M$7:$M$16)</f>
        <v>1.229057816159782E-2</v>
      </c>
    </row>
    <row r="48" spans="1:32" x14ac:dyDescent="0.35">
      <c r="AA48" s="56">
        <v>1</v>
      </c>
      <c r="AB48" s="55">
        <f>PWLinear(AA48,$D$7:$D$16,$M$7:$M$16)</f>
        <v>1.5100000000000001E-2</v>
      </c>
      <c r="AC48" s="54">
        <v>9.5</v>
      </c>
      <c r="AD48" s="55">
        <f>PWLinear(AC48,$D$7:$D$16,$M$7:$M$16)</f>
        <v>1.229057816159782E-2</v>
      </c>
      <c r="AE48" s="54">
        <f>AE47+0.5</f>
        <v>21</v>
      </c>
      <c r="AF48" s="55">
        <f>PWLinear(AE48,$D$7:$D$16,$M$7:$M$16)</f>
        <v>1.229057816159782E-2</v>
      </c>
    </row>
    <row r="49" spans="27:32" x14ac:dyDescent="0.35">
      <c r="AA49" s="52">
        <f>D9</f>
        <v>0.5</v>
      </c>
      <c r="AB49" s="53">
        <f>PWLinear(AA49,$D$7:$D$16,$M$7:$M$16)</f>
        <v>1.5900000000000001E-2</v>
      </c>
      <c r="AC49" s="54">
        <f t="shared" ref="AC49:AC63" si="19">AC48+0.5</f>
        <v>10</v>
      </c>
      <c r="AD49" s="55">
        <f>PWLinear(AC49,$D$7:$D$16,$M$7:$M$16)</f>
        <v>1.229057816159782E-2</v>
      </c>
      <c r="AE49" s="54">
        <f>AE48+0.5</f>
        <v>21.5</v>
      </c>
      <c r="AF49" s="55">
        <f>PWLinear(AE49,$D$7:$D$16,$M$7:$M$16)</f>
        <v>1.229057816159782E-2</v>
      </c>
    </row>
    <row r="50" spans="27:32" x14ac:dyDescent="0.35">
      <c r="AA50" s="56">
        <v>1.5</v>
      </c>
      <c r="AB50" s="55">
        <f>PWLinear(AA50,$D$7:$D$16,$M$7:$M$16)</f>
        <v>1.4235758137001939E-2</v>
      </c>
      <c r="AC50" s="54">
        <f t="shared" si="19"/>
        <v>10.5</v>
      </c>
      <c r="AD50" s="55">
        <f>PWLinear(AC50,$D$7:$D$16,$M$7:$M$16)</f>
        <v>1.229057816159782E-2</v>
      </c>
      <c r="AE50" s="54">
        <f>AE49+0.5</f>
        <v>22</v>
      </c>
      <c r="AF50" s="55">
        <f>PWLinear(AE50,$D$7:$D$16,$M$7:$M$16)</f>
        <v>1.229057816159782E-2</v>
      </c>
    </row>
    <row r="51" spans="27:32" x14ac:dyDescent="0.35">
      <c r="AA51" s="52">
        <f>D10</f>
        <v>1</v>
      </c>
      <c r="AB51" s="53">
        <f>PWLinear(AA51,$D$7:$D$16,$M$7:$M$16)</f>
        <v>1.5100000000000001E-2</v>
      </c>
      <c r="AC51" s="54">
        <f t="shared" si="19"/>
        <v>11</v>
      </c>
      <c r="AD51" s="55">
        <f>PWLinear(AC51,$D$7:$D$16,$M$7:$M$16)</f>
        <v>1.229057816159782E-2</v>
      </c>
      <c r="AE51" s="57" t="e">
        <f>#REF!</f>
        <v>#REF!</v>
      </c>
      <c r="AF51" s="53" t="e">
        <f>PWLinear(AE51,$D$7:$D$16,$M$7:$M$16)</f>
        <v>#VALUE!</v>
      </c>
    </row>
    <row r="52" spans="27:32" x14ac:dyDescent="0.35">
      <c r="AA52" s="56">
        <v>2</v>
      </c>
      <c r="AB52" s="55">
        <f>PWLinear(AA52,$D$7:$D$16,$M$7:$M$16)</f>
        <v>1.3455575895627764E-2</v>
      </c>
      <c r="AC52" s="54">
        <f t="shared" si="19"/>
        <v>11.5</v>
      </c>
      <c r="AD52" s="55">
        <f>PWLinear(AC52,$D$7:$D$16,$M$7:$M$16)</f>
        <v>1.229057816159782E-2</v>
      </c>
      <c r="AE52" s="54">
        <v>22.5</v>
      </c>
      <c r="AF52" s="55">
        <f>PWLinear(AE52,$D$7:$D$16,$M$7:$M$16)</f>
        <v>1.229057816159782E-2</v>
      </c>
    </row>
    <row r="53" spans="27:32" x14ac:dyDescent="0.35">
      <c r="AA53" s="56">
        <f t="shared" ref="AA53:AA68" si="20">AA52+0.5</f>
        <v>2.5</v>
      </c>
      <c r="AB53" s="55">
        <f>PWLinear(AA53,$D$7:$D$16,$M$7:$M$16)</f>
        <v>1.323053740539467E-2</v>
      </c>
      <c r="AC53" s="54">
        <f t="shared" si="19"/>
        <v>12</v>
      </c>
      <c r="AD53" s="55">
        <f>PWLinear(AC53,$D$7:$D$16,$M$7:$M$16)</f>
        <v>1.229057816159782E-2</v>
      </c>
      <c r="AE53" s="54">
        <f t="shared" ref="AE53:AE68" si="21">AE52+0.5</f>
        <v>23</v>
      </c>
      <c r="AF53" s="55">
        <f>PWLinear(AE53,$D$7:$D$16,$M$7:$M$16)</f>
        <v>1.229057816159782E-2</v>
      </c>
    </row>
    <row r="54" spans="27:32" x14ac:dyDescent="0.35">
      <c r="AA54" s="52">
        <f>D11</f>
        <v>1.9342465753424658</v>
      </c>
      <c r="AB54" s="53">
        <f>PWLinear(AA54,$D$7:$D$16,$M$7:$M$16)</f>
        <v>1.3485169998452938E-2</v>
      </c>
      <c r="AC54" s="54">
        <f t="shared" si="19"/>
        <v>12.5</v>
      </c>
      <c r="AD54" s="55">
        <f>PWLinear(AC54,$D$7:$D$16,$M$7:$M$16)</f>
        <v>1.229057816159782E-2</v>
      </c>
      <c r="AE54" s="54">
        <f t="shared" si="21"/>
        <v>23.5</v>
      </c>
      <c r="AF54" s="55">
        <f>PWLinear(AE54,$D$7:$D$16,$M$7:$M$16)</f>
        <v>1.229057816159782E-2</v>
      </c>
    </row>
    <row r="55" spans="27:32" x14ac:dyDescent="0.35">
      <c r="AA55" s="56">
        <v>4</v>
      </c>
      <c r="AB55" s="55">
        <f>PWLinear(AA55,$D$7:$D$16,$M$7:$M$16)</f>
        <v>1.2580082779614773E-2</v>
      </c>
      <c r="AC55" s="57" t="e">
        <f>#REF!</f>
        <v>#REF!</v>
      </c>
      <c r="AD55" s="53" t="e">
        <f>PWLinear(AC55,$D$7:$D$16,$M$7:$M$16)</f>
        <v>#VALUE!</v>
      </c>
      <c r="AE55" s="54" t="e">
        <f>#REF!+0.5</f>
        <v>#REF!</v>
      </c>
      <c r="AF55" s="55" t="e">
        <f>PWLinear(AE55,$D$7:$D$16,$M$7:$M$16)</f>
        <v>#VALUE!</v>
      </c>
    </row>
    <row r="56" spans="27:32" x14ac:dyDescent="0.35">
      <c r="AA56" s="56"/>
      <c r="AB56" s="55"/>
      <c r="AC56" s="57"/>
      <c r="AD56" s="53"/>
      <c r="AE56" s="54"/>
      <c r="AF56" s="55"/>
    </row>
    <row r="57" spans="27:32" x14ac:dyDescent="0.35">
      <c r="AA57" s="52">
        <f>D13</f>
        <v>5.015068493150685</v>
      </c>
      <c r="AB57" s="53">
        <f>PWLinear(AA57,$D$7:$D$16,$M$7:$M$16)</f>
        <v>1.2174844399412922E-2</v>
      </c>
      <c r="AC57" s="54">
        <v>14.5</v>
      </c>
      <c r="AD57" s="55">
        <f>PWLinear(AC57,$D$7:$D$16,$M$7:$M$16)</f>
        <v>1.229057816159782E-2</v>
      </c>
      <c r="AE57" s="54" t="e">
        <f>AE55+0.5</f>
        <v>#REF!</v>
      </c>
      <c r="AF57" s="55" t="e">
        <f>PWLinear(AE57,$D$7:$D$16,$M$7:$M$16)</f>
        <v>#VALUE!</v>
      </c>
    </row>
    <row r="58" spans="27:32" x14ac:dyDescent="0.35">
      <c r="AA58" s="52"/>
      <c r="AB58" s="53"/>
      <c r="AC58" s="54"/>
      <c r="AD58" s="55"/>
      <c r="AE58" s="54"/>
      <c r="AF58" s="55"/>
    </row>
    <row r="59" spans="27:32" x14ac:dyDescent="0.35">
      <c r="AA59" s="52"/>
      <c r="AB59" s="53"/>
      <c r="AC59" s="54"/>
      <c r="AD59" s="55"/>
      <c r="AE59" s="54"/>
      <c r="AF59" s="55"/>
    </row>
    <row r="60" spans="27:32" x14ac:dyDescent="0.35">
      <c r="AA60" s="56">
        <v>4.5</v>
      </c>
      <c r="AB60" s="55">
        <f>PWLinear(AA60,$D$7:$D$16,$M$7:$M$16)</f>
        <v>1.2380471431742066E-2</v>
      </c>
      <c r="AC60" s="54">
        <f>AC57+0.5</f>
        <v>15</v>
      </c>
      <c r="AD60" s="55">
        <f>PWLinear(AC60,$D$7:$D$16,$M$7:$M$16)</f>
        <v>1.229057816159782E-2</v>
      </c>
      <c r="AE60" s="54" t="e">
        <f t="shared" ref="AE60" si="22">AE57+0.5</f>
        <v>#REF!</v>
      </c>
      <c r="AF60" s="55" t="e">
        <f>PWLinear(AE60,$D$7:$D$16,$M$7:$M$16)</f>
        <v>#VALUE!</v>
      </c>
    </row>
    <row r="61" spans="27:32" x14ac:dyDescent="0.35">
      <c r="AA61" s="56">
        <f t="shared" ref="AA61" si="23">AA60+0.5</f>
        <v>5</v>
      </c>
      <c r="AB61" s="55">
        <f>PWLinear(AA61,$D$7:$D$16,$M$7:$M$16)</f>
        <v>1.2180860083869359E-2</v>
      </c>
      <c r="AC61" s="54">
        <f t="shared" ref="AC61" si="24">AC60+0.5</f>
        <v>15.5</v>
      </c>
      <c r="AD61" s="55">
        <f>PWLinear(AC61,$D$7:$D$16,$M$7:$M$16)</f>
        <v>1.229057816159782E-2</v>
      </c>
      <c r="AE61" s="57" t="e">
        <f>#REF!</f>
        <v>#REF!</v>
      </c>
      <c r="AF61" s="53" t="e">
        <f>PWLinear(AE61,$D$7:$D$16,$M$7:$M$16)</f>
        <v>#VALUE!</v>
      </c>
    </row>
    <row r="62" spans="27:32" x14ac:dyDescent="0.35">
      <c r="AA62" s="52">
        <f>D14</f>
        <v>5.2643835616438359</v>
      </c>
      <c r="AB62" s="53">
        <f>PWLinear(AA62,$D$7:$D$16,$M$7:$M$16)</f>
        <v>1.2050654352857995E-2</v>
      </c>
      <c r="AC62" s="54">
        <f t="shared" si="19"/>
        <v>16</v>
      </c>
      <c r="AD62" s="55">
        <f>PWLinear(AC62,$D$7:$D$16,$M$7:$M$16)</f>
        <v>1.229057816159782E-2</v>
      </c>
      <c r="AE62" s="54">
        <v>27</v>
      </c>
      <c r="AF62" s="55">
        <f>PWLinear(AE62,$D$7:$D$16,$M$7:$M$16)</f>
        <v>1.229057816159782E-2</v>
      </c>
    </row>
    <row r="63" spans="27:32" x14ac:dyDescent="0.35">
      <c r="AA63" s="56">
        <v>5.5</v>
      </c>
      <c r="AB63" s="55">
        <f>PWLinear(AA63,$D$7:$D$16,$M$7:$M$16)</f>
        <v>1.2055813695160351E-2</v>
      </c>
      <c r="AC63" s="54">
        <f t="shared" si="19"/>
        <v>16.5</v>
      </c>
      <c r="AD63" s="55">
        <f>PWLinear(AC63,$D$7:$D$16,$M$7:$M$16)</f>
        <v>1.229057816159782E-2</v>
      </c>
      <c r="AE63" s="54">
        <f t="shared" si="21"/>
        <v>27.5</v>
      </c>
      <c r="AF63" s="55">
        <f>PWLinear(AE63,$D$7:$D$16,$M$7:$M$16)</f>
        <v>1.229057816159782E-2</v>
      </c>
    </row>
    <row r="64" spans="27:32" x14ac:dyDescent="0.35">
      <c r="AA64" s="56">
        <f t="shared" ref="AA64:AA67" si="25">AA63+0.5</f>
        <v>6</v>
      </c>
      <c r="AB64" s="55">
        <f>PWLinear(AA64,$D$7:$D$16,$M$7:$M$16)</f>
        <v>1.2066762299464769E-2</v>
      </c>
      <c r="AC64" s="54">
        <f t="shared" ref="AC64:AC66" si="26">AC63+0.5</f>
        <v>17</v>
      </c>
      <c r="AD64" s="55">
        <f>PWLinear(AC64,$D$7:$D$16,$M$7:$M$16)</f>
        <v>1.229057816159782E-2</v>
      </c>
      <c r="AE64" s="54">
        <f t="shared" ref="AE64:AE67" si="27">AE63+0.5</f>
        <v>28</v>
      </c>
      <c r="AF64" s="55">
        <f>PWLinear(AE64,$D$7:$D$16,$M$7:$M$16)</f>
        <v>1.229057816159782E-2</v>
      </c>
    </row>
    <row r="65" spans="27:32" x14ac:dyDescent="0.35">
      <c r="AA65" s="52">
        <f>D15</f>
        <v>6.2643835616438359</v>
      </c>
      <c r="AB65" s="53">
        <f>PWLinear(AA65,$D$7:$D$16,$M$7:$M$16)</f>
        <v>1.207255156146683E-2</v>
      </c>
      <c r="AC65" s="54">
        <f t="shared" si="26"/>
        <v>17.5</v>
      </c>
      <c r="AD65" s="55">
        <f>PWLinear(AC65,$D$7:$D$16,$M$7:$M$16)</f>
        <v>1.229057816159782E-2</v>
      </c>
      <c r="AE65" s="54">
        <f t="shared" si="27"/>
        <v>28.5</v>
      </c>
      <c r="AF65" s="55">
        <f>PWLinear(AE65,$D$7:$D$16,$M$7:$M$16)</f>
        <v>1.229057816159782E-2</v>
      </c>
    </row>
    <row r="66" spans="27:32" x14ac:dyDescent="0.35">
      <c r="AA66" s="56">
        <v>6.5</v>
      </c>
      <c r="AB66" s="55">
        <f>PWLinear(AA66,$D$7:$D$16,$M$7:$M$16)</f>
        <v>1.2123922212456598E-2</v>
      </c>
      <c r="AC66" s="54">
        <f t="shared" si="26"/>
        <v>18</v>
      </c>
      <c r="AD66" s="55">
        <f>PWLinear(AC66,$D$7:$D$16,$M$7:$M$16)</f>
        <v>1.229057816159782E-2</v>
      </c>
      <c r="AE66" s="54">
        <f t="shared" si="27"/>
        <v>29</v>
      </c>
      <c r="AF66" s="55">
        <f>PWLinear(AE66,$D$7:$D$16,$M$7:$M$16)</f>
        <v>1.229057816159782E-2</v>
      </c>
    </row>
    <row r="67" spans="27:32" x14ac:dyDescent="0.35">
      <c r="AA67" s="56">
        <f t="shared" si="25"/>
        <v>7</v>
      </c>
      <c r="AB67" s="55">
        <f>PWLinear(AA67,$D$7:$D$16,$M$7:$M$16)</f>
        <v>1.2232935512522093E-2</v>
      </c>
      <c r="AC67" s="57" t="e">
        <f>#REF!</f>
        <v>#REF!</v>
      </c>
      <c r="AD67" s="53" t="e">
        <f>PWLinear(AC67,$D$7:$D$16,$M$7:$M$16)</f>
        <v>#VALUE!</v>
      </c>
      <c r="AE67" s="54">
        <f t="shared" si="27"/>
        <v>29.5</v>
      </c>
      <c r="AF67" s="55">
        <f>PWLinear(AE67,$D$7:$D$16,$M$7:$M$16)</f>
        <v>1.229057816159782E-2</v>
      </c>
    </row>
    <row r="68" spans="27:32" ht="15" thickBot="1" x14ac:dyDescent="0.4">
      <c r="AA68" s="58">
        <f t="shared" si="20"/>
        <v>7.5</v>
      </c>
      <c r="AB68" s="59">
        <f>PWLinear(AA68,$D$7:$D$16,$M$7:$M$16)</f>
        <v>1.229057816159782E-2</v>
      </c>
      <c r="AC68" s="60">
        <v>18.5</v>
      </c>
      <c r="AD68" s="59">
        <f>PWLinear(AC68,$D$7:$D$16,$M$7:$M$16)</f>
        <v>1.229057816159782E-2</v>
      </c>
      <c r="AE68" s="60">
        <f t="shared" si="21"/>
        <v>30</v>
      </c>
      <c r="AF68" s="59">
        <f>PWLinear(AE68,$D$7:$D$16,$M$7:$M$16)</f>
        <v>1.229057816159782E-2</v>
      </c>
    </row>
  </sheetData>
  <mergeCells count="15">
    <mergeCell ref="Z3:AA3"/>
    <mergeCell ref="R4:T4"/>
    <mergeCell ref="U4:W4"/>
    <mergeCell ref="E20:F20"/>
    <mergeCell ref="A33:K33"/>
    <mergeCell ref="E18:F18"/>
    <mergeCell ref="G18:H18"/>
    <mergeCell ref="A32:I32"/>
    <mergeCell ref="J32:K32"/>
    <mergeCell ref="A17:I17"/>
    <mergeCell ref="C1:D1"/>
    <mergeCell ref="J17:K17"/>
    <mergeCell ref="G3:H3"/>
    <mergeCell ref="E3:F3"/>
    <mergeCell ref="E5:F5"/>
  </mergeCells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discount-factors</vt:lpstr>
    </vt:vector>
  </TitlesOfParts>
  <Company>University of Cambridge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Yazann Romahi</dc:creator>
  <cp:lastModifiedBy>Daniel Fudge</cp:lastModifiedBy>
  <dcterms:created xsi:type="dcterms:W3CDTF">2002-08-14T18:48:00Z</dcterms:created>
  <dcterms:modified xsi:type="dcterms:W3CDTF">2020-03-08T03:07:38Z</dcterms:modified>
</cp:coreProperties>
</file>