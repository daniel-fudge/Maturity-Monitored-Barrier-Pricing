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niel\code\Maturity-Monitored-Barrier-Pricing\"/>
    </mc:Choice>
  </mc:AlternateContent>
  <xr:revisionPtr revIDLastSave="0" documentId="8_{DA937F58-0A6C-42AD-9E0A-59C5EBDAC065}" xr6:coauthVersionLast="44" xr6:coauthVersionMax="44" xr10:uidLastSave="{00000000-0000-0000-0000-000000000000}"/>
  <bookViews>
    <workbookView xWindow="33630" yWindow="0" windowWidth="24030" windowHeight="15240" tabRatio="764" activeTab="3" xr2:uid="{00000000-000D-0000-FFFF-FFFF00000000}"/>
  </bookViews>
  <sheets>
    <sheet name="Bond-Info" sheetId="33" r:id="rId1"/>
    <sheet name="Discount-Factors" sheetId="30" r:id="rId2"/>
    <sheet name="Dividend-Yield" sheetId="31" r:id="rId3"/>
    <sheet name="Implied-Volatility" sheetId="32" r:id="rId4"/>
  </sheets>
  <functionGroups builtInGroupCount="19"/>
  <externalReferences>
    <externalReference r:id="rId5"/>
  </externalReferences>
  <definedNames>
    <definedName name="AnnualCoupon" localSheetId="0">#REF!</definedName>
    <definedName name="AnnualCoupon" localSheetId="1">#REF!</definedName>
    <definedName name="AnnualCoupon" localSheetId="2">#REF!</definedName>
    <definedName name="AnnualCoupon" localSheetId="3">#REF!</definedName>
    <definedName name="AnnualCoupon">#REF!</definedName>
    <definedName name="AnnualCoupon1" localSheetId="0">#REF!</definedName>
    <definedName name="AnnualCoupon1" localSheetId="1">#REF!</definedName>
    <definedName name="AnnualCoupon1" localSheetId="2">#REF!</definedName>
    <definedName name="AnnualCoupon1" localSheetId="3">#REF!</definedName>
    <definedName name="AnnualCoupon1">#REF!</definedName>
    <definedName name="AnnualCoupon2" localSheetId="0">#REF!</definedName>
    <definedName name="AnnualCoupon2" localSheetId="1">#REF!</definedName>
    <definedName name="AnnualCoupon2" localSheetId="2">#REF!</definedName>
    <definedName name="AnnualCoupon2" localSheetId="3">#REF!</definedName>
    <definedName name="AnnualCoupon2">#REF!</definedName>
    <definedName name="BondPrice" localSheetId="0">#REF!</definedName>
    <definedName name="BondPrice" localSheetId="1">#REF!</definedName>
    <definedName name="BondPrice" localSheetId="2">#REF!</definedName>
    <definedName name="BondPrice" localSheetId="3">#REF!</definedName>
    <definedName name="BondPrice">#REF!</definedName>
    <definedName name="BondPrice2" localSheetId="0">#REF!</definedName>
    <definedName name="BondPrice2" localSheetId="1">#REF!</definedName>
    <definedName name="BondPrice2" localSheetId="2">#REF!</definedName>
    <definedName name="BondPrice2" localSheetId="3">#REF!</definedName>
    <definedName name="BondPrice2">#REF!</definedName>
    <definedName name="FaceValue" localSheetId="0">#REF!</definedName>
    <definedName name="FaceValue" localSheetId="1">#REF!</definedName>
    <definedName name="FaceValue" localSheetId="2">#REF!</definedName>
    <definedName name="FaceValue" localSheetId="3">#REF!</definedName>
    <definedName name="FaceValue">#REF!</definedName>
    <definedName name="Maturity" localSheetId="0">#REF!</definedName>
    <definedName name="Maturity" localSheetId="1">#REF!</definedName>
    <definedName name="Maturity" localSheetId="2">#REF!</definedName>
    <definedName name="Maturity" localSheetId="3">#REF!</definedName>
    <definedName name="Maturity">#REF!</definedName>
    <definedName name="Maturity2" localSheetId="0">#REF!</definedName>
    <definedName name="Maturity2" localSheetId="1">#REF!</definedName>
    <definedName name="Maturity2" localSheetId="2">#REF!</definedName>
    <definedName name="Maturity2" localSheetId="3">#REF!</definedName>
    <definedName name="Maturity2">#REF!</definedName>
    <definedName name="PeriodCoupon" localSheetId="0">#REF!</definedName>
    <definedName name="PeriodCoupon" localSheetId="1">#REF!</definedName>
    <definedName name="PeriodCoupon" localSheetId="2">#REF!</definedName>
    <definedName name="PeriodCoupon" localSheetId="3">#REF!</definedName>
    <definedName name="PeriodCoupon">#REF!</definedName>
    <definedName name="PeriodCoupon2" localSheetId="0">#REF!</definedName>
    <definedName name="PeriodCoupon2" localSheetId="1">#REF!</definedName>
    <definedName name="PeriodCoupon2" localSheetId="2">#REF!</definedName>
    <definedName name="PeriodCoupon2" localSheetId="3">#REF!</definedName>
    <definedName name="PeriodCoupon2">#REF!</definedName>
    <definedName name="SemiAnnualPeriod" localSheetId="0">#REF!</definedName>
    <definedName name="SemiAnnualPeriod" localSheetId="1">#REF!</definedName>
    <definedName name="SemiAnnualPeriod" localSheetId="2">#REF!</definedName>
    <definedName name="SemiAnnualPeriod" localSheetId="3">#REF!</definedName>
    <definedName name="SemiAnnualPeriod">#REF!</definedName>
    <definedName name="SemiAnnualPeriod2" localSheetId="0">#REF!</definedName>
    <definedName name="SemiAnnualPeriod2" localSheetId="1">#REF!</definedName>
    <definedName name="SemiAnnualPeriod2" localSheetId="2">#REF!</definedName>
    <definedName name="SemiAnnualPeriod2" localSheetId="3">#REF!</definedName>
    <definedName name="SemiAnnualPeriod2">#REF!</definedName>
    <definedName name="solver_adj" localSheetId="1" hidden="1">'Discount-Factors'!$M$26:$M$31</definedName>
    <definedName name="solver_adj" localSheetId="3" hidden="1">'Implied-Volatility'!$G$5</definedName>
    <definedName name="solver_cvg" localSheetId="1" hidden="1">0.0001</definedName>
    <definedName name="solver_cvg" localSheetId="3" hidden="1">0.0001</definedName>
    <definedName name="solver_drv" localSheetId="1" hidden="1">1</definedName>
    <definedName name="solver_drv" localSheetId="3" hidden="1">1</definedName>
    <definedName name="solver_eng" localSheetId="1" hidden="1">1</definedName>
    <definedName name="solver_eng" localSheetId="3" hidden="1">1</definedName>
    <definedName name="solver_est" localSheetId="1" hidden="1">1</definedName>
    <definedName name="solver_est" localSheetId="3" hidden="1">1</definedName>
    <definedName name="solver_itr" localSheetId="1" hidden="1">2147483647</definedName>
    <definedName name="solver_itr" localSheetId="3" hidden="1">2147483647</definedName>
    <definedName name="solver_mip" localSheetId="1" hidden="1">2147483647</definedName>
    <definedName name="solver_mip" localSheetId="3" hidden="1">2147483647</definedName>
    <definedName name="solver_mni" localSheetId="1" hidden="1">30</definedName>
    <definedName name="solver_mni" localSheetId="3" hidden="1">30</definedName>
    <definedName name="solver_mrt" localSheetId="1" hidden="1">0.075</definedName>
    <definedName name="solver_mrt" localSheetId="3" hidden="1">0.075</definedName>
    <definedName name="solver_msl" localSheetId="1" hidden="1">2</definedName>
    <definedName name="solver_msl" localSheetId="3" hidden="1">2</definedName>
    <definedName name="solver_neg" localSheetId="1" hidden="1">1</definedName>
    <definedName name="solver_neg" localSheetId="3" hidden="1">1</definedName>
    <definedName name="solver_nod" localSheetId="1" hidden="1">2147483647</definedName>
    <definedName name="solver_nod" localSheetId="3" hidden="1">2147483647</definedName>
    <definedName name="solver_num" localSheetId="1" hidden="1">0</definedName>
    <definedName name="solver_num" localSheetId="3" hidden="1">0</definedName>
    <definedName name="solver_nwt" localSheetId="1" hidden="1">1</definedName>
    <definedName name="solver_nwt" localSheetId="3" hidden="1">1</definedName>
    <definedName name="solver_opt" localSheetId="1" hidden="1">'Discount-Factors'!$L$32</definedName>
    <definedName name="solver_opt" localSheetId="3" hidden="1">'Implied-Volatility'!$K$5</definedName>
    <definedName name="solver_pre" localSheetId="1" hidden="1">0.000001</definedName>
    <definedName name="solver_pre" localSheetId="3" hidden="1">0.000001</definedName>
    <definedName name="solver_rbv" localSheetId="1" hidden="1">1</definedName>
    <definedName name="solver_rbv" localSheetId="3" hidden="1">1</definedName>
    <definedName name="solver_rlx" localSheetId="1" hidden="1">2</definedName>
    <definedName name="solver_rlx" localSheetId="3" hidden="1">2</definedName>
    <definedName name="solver_rsd" localSheetId="1" hidden="1">0</definedName>
    <definedName name="solver_rsd" localSheetId="3" hidden="1">0</definedName>
    <definedName name="solver_scl" localSheetId="1" hidden="1">1</definedName>
    <definedName name="solver_scl" localSheetId="3" hidden="1">1</definedName>
    <definedName name="solver_sho" localSheetId="1" hidden="1">2</definedName>
    <definedName name="solver_sho" localSheetId="3" hidden="1">2</definedName>
    <definedName name="solver_ssz" localSheetId="1" hidden="1">100</definedName>
    <definedName name="solver_ssz" localSheetId="3" hidden="1">100</definedName>
    <definedName name="solver_tim" localSheetId="1" hidden="1">2147483647</definedName>
    <definedName name="solver_tim" localSheetId="3" hidden="1">2147483647</definedName>
    <definedName name="solver_tol" localSheetId="1" hidden="1">0.01</definedName>
    <definedName name="solver_tol" localSheetId="3" hidden="1">0.01</definedName>
    <definedName name="solver_typ" localSheetId="1" hidden="1">2</definedName>
    <definedName name="solver_typ" localSheetId="3" hidden="1">2</definedName>
    <definedName name="solver_val" localSheetId="1" hidden="1">0</definedName>
    <definedName name="solver_val" localSheetId="3" hidden="1">0</definedName>
    <definedName name="solver_ver" localSheetId="1" hidden="1">3</definedName>
    <definedName name="solver_ver" localSheetId="3" hidden="1">3</definedName>
    <definedName name="X" localSheetId="0">#REF!</definedName>
    <definedName name="X" localSheetId="1">#REF!</definedName>
    <definedName name="X" localSheetId="2">#REF!</definedName>
    <definedName name="X" localSheetId="3">#REF!</definedName>
    <definedName name="X">#REF!</definedName>
    <definedName name="Xa" localSheetId="0">#REF!</definedName>
    <definedName name="Xa" localSheetId="1">#REF!</definedName>
    <definedName name="Xa" localSheetId="2">#REF!</definedName>
    <definedName name="Xa" localSheetId="3">#REF!</definedName>
    <definedName name="Xa">#REF!</definedName>
    <definedName name="Xb" localSheetId="0">#REF!</definedName>
    <definedName name="Xb" localSheetId="1">#REF!</definedName>
    <definedName name="Xb" localSheetId="2">#REF!</definedName>
    <definedName name="Xb" localSheetId="3">#REF!</definedName>
    <definedName name="Xb">#REF!</definedName>
    <definedName name="Xc" localSheetId="0">#REF!</definedName>
    <definedName name="Xc" localSheetId="1">#REF!</definedName>
    <definedName name="Xc" localSheetId="2">#REF!</definedName>
    <definedName name="Xc" localSheetId="3">#REF!</definedName>
    <definedName name="Xc">#REF!</definedName>
    <definedName name="XX" localSheetId="0">#REF!</definedName>
    <definedName name="XX" localSheetId="1">#REF!</definedName>
    <definedName name="XX" localSheetId="2">#REF!</definedName>
    <definedName name="XX" localSheetId="3">#REF!</definedName>
    <definedName name="XX">#REF!</definedName>
    <definedName name="Y" localSheetId="0">#REF!</definedName>
    <definedName name="Y" localSheetId="1">#REF!</definedName>
    <definedName name="Y" localSheetId="2">#REF!</definedName>
    <definedName name="Y" localSheetId="3">#REF!</definedName>
    <definedName name="Y">#REF!</definedName>
    <definedName name="Ya" localSheetId="0">#REF!</definedName>
    <definedName name="Ya" localSheetId="1">#REF!</definedName>
    <definedName name="Ya" localSheetId="2">#REF!</definedName>
    <definedName name="Ya" localSheetId="3">#REF!</definedName>
    <definedName name="Ya">#REF!</definedName>
    <definedName name="Yb" localSheetId="0">#REF!</definedName>
    <definedName name="Yb" localSheetId="1">#REF!</definedName>
    <definedName name="Yb" localSheetId="2">#REF!</definedName>
    <definedName name="Yb" localSheetId="3">#REF!</definedName>
    <definedName name="Yb">#REF!</definedName>
    <definedName name="Yc" localSheetId="0">#REF!</definedName>
    <definedName name="Yc" localSheetId="1">#REF!</definedName>
    <definedName name="Yc" localSheetId="2">#REF!</definedName>
    <definedName name="Yc" localSheetId="3">#REF!</definedName>
    <definedName name="Yc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2" i="32" l="1"/>
  <c r="D5" i="32" l="1"/>
  <c r="D4" i="32"/>
  <c r="C5" i="32"/>
  <c r="C4" i="32"/>
  <c r="U11" i="30"/>
  <c r="R11" i="30"/>
  <c r="R10" i="30"/>
  <c r="C14" i="33"/>
  <c r="C13" i="33"/>
  <c r="C12" i="33"/>
  <c r="D17" i="31"/>
  <c r="D16" i="31"/>
  <c r="D15" i="31"/>
  <c r="D14" i="31"/>
  <c r="D13" i="31"/>
  <c r="D12" i="31"/>
  <c r="D11" i="31"/>
  <c r="D10" i="31"/>
  <c r="D9" i="31"/>
  <c r="A9" i="31"/>
  <c r="A11" i="31" s="1"/>
  <c r="A13" i="31" s="1"/>
  <c r="D8" i="31"/>
  <c r="D7" i="31"/>
  <c r="D6" i="31"/>
  <c r="D5" i="31"/>
  <c r="D18" i="31" s="1"/>
  <c r="D4" i="31"/>
  <c r="D3" i="31"/>
  <c r="AC67" i="30"/>
  <c r="AA67" i="30"/>
  <c r="AA68" i="30" s="1"/>
  <c r="AC44" i="30" s="1"/>
  <c r="AC45" i="30" s="1"/>
  <c r="AC46" i="30" s="1"/>
  <c r="AE64" i="30"/>
  <c r="AE65" i="30" s="1"/>
  <c r="AE66" i="30" s="1"/>
  <c r="AE67" i="30" s="1"/>
  <c r="AE68" i="30" s="1"/>
  <c r="AA64" i="30"/>
  <c r="AE63" i="30"/>
  <c r="AE61" i="30"/>
  <c r="AA61" i="30"/>
  <c r="AC60" i="30"/>
  <c r="AC61" i="30" s="1"/>
  <c r="AC62" i="30" s="1"/>
  <c r="AC63" i="30" s="1"/>
  <c r="AC64" i="30" s="1"/>
  <c r="AC65" i="30" s="1"/>
  <c r="AC66" i="30" s="1"/>
  <c r="AE55" i="30"/>
  <c r="AE57" i="30" s="1"/>
  <c r="AE60" i="30" s="1"/>
  <c r="AC55" i="30"/>
  <c r="AE54" i="30"/>
  <c r="AE53" i="30"/>
  <c r="AA53" i="30"/>
  <c r="AE51" i="30"/>
  <c r="AA51" i="30"/>
  <c r="AC49" i="30"/>
  <c r="AC50" i="30" s="1"/>
  <c r="AC51" i="30" s="1"/>
  <c r="AC52" i="30" s="1"/>
  <c r="AC53" i="30" s="1"/>
  <c r="AC54" i="30" s="1"/>
  <c r="AE45" i="30"/>
  <c r="AE46" i="30" s="1"/>
  <c r="AE47" i="30" s="1"/>
  <c r="AE48" i="30" s="1"/>
  <c r="AE49" i="30" s="1"/>
  <c r="AE50" i="30" s="1"/>
  <c r="AE44" i="30"/>
  <c r="H31" i="30"/>
  <c r="G31" i="30"/>
  <c r="D31" i="30"/>
  <c r="N31" i="30" s="1"/>
  <c r="C31" i="30"/>
  <c r="B31" i="30"/>
  <c r="F31" i="30" s="1"/>
  <c r="C30" i="30"/>
  <c r="H30" i="30" s="1"/>
  <c r="B30" i="30"/>
  <c r="H29" i="30"/>
  <c r="F29" i="30"/>
  <c r="C29" i="30"/>
  <c r="D29" i="30" s="1"/>
  <c r="N29" i="30" s="1"/>
  <c r="B29" i="30"/>
  <c r="C28" i="30"/>
  <c r="H28" i="30" s="1"/>
  <c r="B28" i="30"/>
  <c r="C27" i="30"/>
  <c r="H27" i="30" s="1"/>
  <c r="B27" i="30"/>
  <c r="C26" i="30"/>
  <c r="H26" i="30" s="1"/>
  <c r="B26" i="30"/>
  <c r="M25" i="30"/>
  <c r="D25" i="30"/>
  <c r="M24" i="30"/>
  <c r="M23" i="30"/>
  <c r="M22" i="30"/>
  <c r="U22" i="30"/>
  <c r="R22" i="30"/>
  <c r="H16" i="30"/>
  <c r="G16" i="30"/>
  <c r="F16" i="30"/>
  <c r="D16" i="30"/>
  <c r="AC47" i="30" s="1"/>
  <c r="H15" i="30"/>
  <c r="I15" i="30" s="1"/>
  <c r="G15" i="30"/>
  <c r="F15" i="30"/>
  <c r="D15" i="30"/>
  <c r="N15" i="30" s="1"/>
  <c r="H14" i="30"/>
  <c r="G14" i="30"/>
  <c r="F14" i="30"/>
  <c r="D14" i="30"/>
  <c r="N14" i="30" s="1"/>
  <c r="H13" i="30"/>
  <c r="G13" i="30"/>
  <c r="F13" i="30"/>
  <c r="D13" i="30"/>
  <c r="N13" i="30" s="1"/>
  <c r="H12" i="30"/>
  <c r="G12" i="30"/>
  <c r="I12" i="30" s="1"/>
  <c r="F12" i="30"/>
  <c r="D12" i="30"/>
  <c r="N12" i="30" s="1"/>
  <c r="H11" i="30"/>
  <c r="G11" i="30"/>
  <c r="F11" i="30"/>
  <c r="D11" i="30"/>
  <c r="AA54" i="30" s="1"/>
  <c r="Q10" i="30"/>
  <c r="U10" i="30" s="1"/>
  <c r="M10" i="30"/>
  <c r="N10" i="30" s="1"/>
  <c r="Q9" i="30"/>
  <c r="R9" i="30" s="1"/>
  <c r="M9" i="30"/>
  <c r="N9" i="30" s="1"/>
  <c r="D9" i="30"/>
  <c r="AA49" i="30" s="1"/>
  <c r="U8" i="30"/>
  <c r="R8" i="30"/>
  <c r="M8" i="30"/>
  <c r="D8" i="30"/>
  <c r="D23" i="30" s="1"/>
  <c r="N23" i="30" s="1"/>
  <c r="U7" i="30"/>
  <c r="R7" i="30"/>
  <c r="M7" i="30"/>
  <c r="D7" i="30"/>
  <c r="AA45" i="30" s="1"/>
  <c r="T11" i="30"/>
  <c r="S11" i="30"/>
  <c r="W11" i="30"/>
  <c r="V11" i="30"/>
  <c r="AF68" i="30"/>
  <c r="AF65" i="30"/>
  <c r="AD64" i="30"/>
  <c r="AB63" i="30"/>
  <c r="AD61" i="30"/>
  <c r="AB60" i="30"/>
  <c r="AD55" i="30"/>
  <c r="AD52" i="30"/>
  <c r="AD49" i="30"/>
  <c r="AF47" i="30"/>
  <c r="AD46" i="30"/>
  <c r="S7" i="30"/>
  <c r="S22" i="30"/>
  <c r="K16" i="30"/>
  <c r="K15" i="30"/>
  <c r="K14" i="30"/>
  <c r="K13" i="30"/>
  <c r="K12" i="30"/>
  <c r="K11" i="30"/>
  <c r="T8" i="30"/>
  <c r="AB67" i="30"/>
  <c r="AF62" i="30"/>
  <c r="AF57" i="30"/>
  <c r="AF53" i="30"/>
  <c r="AF50" i="30"/>
  <c r="AF44" i="30"/>
  <c r="AD68" i="30"/>
  <c r="AD65" i="30"/>
  <c r="AB64" i="30"/>
  <c r="AD62" i="30"/>
  <c r="AB61" i="30"/>
  <c r="AB55" i="30"/>
  <c r="AB52" i="30"/>
  <c r="AB49" i="30"/>
  <c r="AD47" i="30"/>
  <c r="AB46" i="30"/>
  <c r="AB68" i="30"/>
  <c r="AF66" i="30"/>
  <c r="AD57" i="30"/>
  <c r="AF54" i="30"/>
  <c r="AD53" i="30"/>
  <c r="AF51" i="30"/>
  <c r="AD50" i="30"/>
  <c r="AF45" i="30"/>
  <c r="AD44" i="30"/>
  <c r="AF63" i="30"/>
  <c r="AF60" i="30"/>
  <c r="AF48" i="30"/>
  <c r="AF67" i="30"/>
  <c r="AD66" i="30"/>
  <c r="AD54" i="30"/>
  <c r="AB53" i="30"/>
  <c r="AD51" i="30"/>
  <c r="AB50" i="30"/>
  <c r="AD45" i="30"/>
  <c r="S9" i="30"/>
  <c r="L2" i="30"/>
  <c r="S8" i="30"/>
  <c r="AF64" i="30"/>
  <c r="AD63" i="30"/>
  <c r="AF61" i="30"/>
  <c r="AD60" i="30"/>
  <c r="AF55" i="30"/>
  <c r="AF49" i="30"/>
  <c r="AD48" i="30"/>
  <c r="AF46" i="30"/>
  <c r="AD67" i="30"/>
  <c r="AB66" i="30"/>
  <c r="AB54" i="30"/>
  <c r="AF52" i="30"/>
  <c r="AB51" i="30"/>
  <c r="AB48" i="30"/>
  <c r="AB45" i="30"/>
  <c r="H4" i="32" l="1"/>
  <c r="I4" i="32" s="1"/>
  <c r="J4" i="32" s="1"/>
  <c r="K4" i="32" s="1"/>
  <c r="H5" i="32"/>
  <c r="I5" i="32" s="1"/>
  <c r="J5" i="32" s="1"/>
  <c r="K5" i="32" s="1"/>
  <c r="N8" i="30"/>
  <c r="I14" i="30"/>
  <c r="J14" i="30" s="1"/>
  <c r="I16" i="30"/>
  <c r="J16" i="30" s="1"/>
  <c r="D28" i="30"/>
  <c r="N28" i="30" s="1"/>
  <c r="G29" i="30"/>
  <c r="I29" i="30" s="1"/>
  <c r="J29" i="30" s="1"/>
  <c r="F28" i="30"/>
  <c r="G26" i="30"/>
  <c r="G28" i="30"/>
  <c r="I28" i="30" s="1"/>
  <c r="F30" i="30"/>
  <c r="J12" i="30"/>
  <c r="I11" i="30"/>
  <c r="J11" i="30" s="1"/>
  <c r="I13" i="30"/>
  <c r="J13" i="30" s="1"/>
  <c r="I31" i="30"/>
  <c r="J31" i="30" s="1"/>
  <c r="J15" i="30"/>
  <c r="L15" i="30" s="1"/>
  <c r="D30" i="30"/>
  <c r="N30" i="30" s="1"/>
  <c r="G27" i="30"/>
  <c r="G30" i="30"/>
  <c r="I30" i="30" s="1"/>
  <c r="J30" i="30" s="1"/>
  <c r="N25" i="30"/>
  <c r="D19" i="31"/>
  <c r="AB44" i="30"/>
  <c r="L11" i="30"/>
  <c r="L12" i="30"/>
  <c r="L13" i="30"/>
  <c r="L14" i="30"/>
  <c r="L16" i="30"/>
  <c r="I27" i="30"/>
  <c r="I26" i="30"/>
  <c r="J26" i="30" s="1"/>
  <c r="N16" i="30"/>
  <c r="N11" i="30"/>
  <c r="D24" i="30"/>
  <c r="N24" i="30" s="1"/>
  <c r="D26" i="30"/>
  <c r="N26" i="30" s="1"/>
  <c r="F26" i="30"/>
  <c r="AA47" i="30"/>
  <c r="AA57" i="30"/>
  <c r="AA62" i="30"/>
  <c r="AA65" i="30"/>
  <c r="Q12" i="30"/>
  <c r="Q13" i="30"/>
  <c r="D22" i="30"/>
  <c r="N22" i="30" s="1"/>
  <c r="U9" i="30"/>
  <c r="D27" i="30"/>
  <c r="N27" i="30" s="1"/>
  <c r="N7" i="30"/>
  <c r="F27" i="30"/>
  <c r="T7" i="30"/>
  <c r="S10" i="30"/>
  <c r="AB47" i="30"/>
  <c r="AB57" i="30"/>
  <c r="T10" i="30"/>
  <c r="K29" i="30"/>
  <c r="V22" i="30"/>
  <c r="V7" i="30"/>
  <c r="W22" i="30"/>
  <c r="K27" i="30"/>
  <c r="K30" i="30"/>
  <c r="W7" i="30"/>
  <c r="V8" i="30"/>
  <c r="W8" i="30"/>
  <c r="K28" i="30"/>
  <c r="K31" i="30"/>
  <c r="V9" i="30"/>
  <c r="V10" i="30"/>
  <c r="W10" i="30"/>
  <c r="K26" i="30"/>
  <c r="T22" i="30"/>
  <c r="AB62" i="30"/>
  <c r="T9" i="30"/>
  <c r="AB65" i="30"/>
  <c r="W9" i="30"/>
  <c r="J28" i="30" l="1"/>
  <c r="L26" i="30"/>
  <c r="L31" i="30"/>
  <c r="L28" i="30"/>
  <c r="L30" i="30"/>
  <c r="L27" i="30"/>
  <c r="L29" i="30"/>
  <c r="U12" i="30"/>
  <c r="R12" i="30"/>
  <c r="Q14" i="30"/>
  <c r="J27" i="30"/>
  <c r="L17" i="30"/>
  <c r="U13" i="30"/>
  <c r="R13" i="30"/>
  <c r="Q15" i="30"/>
  <c r="W12" i="30"/>
  <c r="V12" i="30"/>
  <c r="T13" i="30"/>
  <c r="S13" i="30"/>
  <c r="W13" i="30"/>
  <c r="V13" i="30"/>
  <c r="T12" i="30"/>
  <c r="S12" i="30"/>
  <c r="U15" i="30" l="1"/>
  <c r="R15" i="30"/>
  <c r="Q17" i="30"/>
  <c r="U14" i="30"/>
  <c r="R14" i="30"/>
  <c r="Q16" i="30"/>
  <c r="L32" i="30"/>
  <c r="W15" i="30"/>
  <c r="V15" i="30"/>
  <c r="T15" i="30"/>
  <c r="S15" i="30"/>
  <c r="T14" i="30"/>
  <c r="S14" i="30"/>
  <c r="W14" i="30"/>
  <c r="V14" i="30"/>
  <c r="U16" i="30" l="1"/>
  <c r="R16" i="30"/>
  <c r="Q18" i="30"/>
  <c r="U17" i="30"/>
  <c r="R17" i="30"/>
  <c r="Q19" i="30"/>
  <c r="W16" i="30"/>
  <c r="V16" i="30"/>
  <c r="T16" i="30"/>
  <c r="S16" i="30"/>
  <c r="W17" i="30"/>
  <c r="V17" i="30"/>
  <c r="T17" i="30"/>
  <c r="S17" i="30"/>
  <c r="Q21" i="30" l="1"/>
  <c r="U19" i="30"/>
  <c r="R19" i="30"/>
  <c r="Q20" i="30"/>
  <c r="U18" i="30"/>
  <c r="R18" i="30"/>
  <c r="W18" i="30"/>
  <c r="V18" i="30"/>
  <c r="W19" i="30"/>
  <c r="V19" i="30"/>
  <c r="T19" i="30"/>
  <c r="S19" i="30"/>
  <c r="T18" i="30"/>
  <c r="S18" i="30"/>
  <c r="U20" i="30" l="1"/>
  <c r="R20" i="30"/>
  <c r="R21" i="30"/>
  <c r="U21" i="30"/>
  <c r="W20" i="30"/>
  <c r="V20" i="30"/>
  <c r="T20" i="30"/>
  <c r="S20" i="30"/>
  <c r="T21" i="30"/>
  <c r="S21" i="30"/>
  <c r="W21" i="30"/>
  <c r="V21" i="30"/>
</calcChain>
</file>

<file path=xl/sharedStrings.xml><?xml version="1.0" encoding="utf-8"?>
<sst xmlns="http://schemas.openxmlformats.org/spreadsheetml/2006/main" count="163" uniqueCount="77">
  <si>
    <t xml:space="preserve"> </t>
  </si>
  <si>
    <t>Error</t>
  </si>
  <si>
    <t>Day Count Flag:</t>
  </si>
  <si>
    <t>(actual/365)</t>
  </si>
  <si>
    <t>Par Value:</t>
  </si>
  <si>
    <t>Coupons/Year:</t>
  </si>
  <si>
    <t>Current Date:</t>
  </si>
  <si>
    <t xml:space="preserve">Years from </t>
  </si>
  <si>
    <t>Days</t>
  </si>
  <si>
    <t>Full</t>
  </si>
  <si>
    <t>Model</t>
  </si>
  <si>
    <t>Price</t>
  </si>
  <si>
    <t>BEY</t>
  </si>
  <si>
    <t>Maturity</t>
  </si>
  <si>
    <t>Quoted</t>
  </si>
  <si>
    <t>From</t>
  </si>
  <si>
    <t>Coupon</t>
  </si>
  <si>
    <t>Accrued</t>
  </si>
  <si>
    <t>Spot</t>
  </si>
  <si>
    <t>Discount</t>
  </si>
  <si>
    <t>Years</t>
  </si>
  <si>
    <r>
      <t>Bond</t>
    </r>
    <r>
      <rPr>
        <vertAlign val="superscript"/>
        <sz val="11"/>
        <color theme="1"/>
        <rFont val="Calibri"/>
        <family val="2"/>
        <scheme val="minor"/>
      </rPr>
      <t>1</t>
    </r>
  </si>
  <si>
    <t>Date</t>
  </si>
  <si>
    <t>in Years</t>
  </si>
  <si>
    <t>Yield</t>
  </si>
  <si>
    <t>Interval</t>
  </si>
  <si>
    <t>Interest</t>
  </si>
  <si>
    <t>(Pf)</t>
  </si>
  <si>
    <t>(Pm)</t>
  </si>
  <si>
    <t>|Pf-Pm|</t>
  </si>
  <si>
    <t>Rate</t>
  </si>
  <si>
    <t>Factor</t>
  </si>
  <si>
    <t>Pay Day</t>
  </si>
  <si>
    <t>to Date</t>
  </si>
  <si>
    <r>
      <t>1-Month T-Bill</t>
    </r>
    <r>
      <rPr>
        <vertAlign val="superscript"/>
        <sz val="11"/>
        <rFont val="Calibri"/>
        <family val="2"/>
        <scheme val="minor"/>
      </rPr>
      <t>2</t>
    </r>
  </si>
  <si>
    <t>TMBMBCA-03M</t>
  </si>
  <si>
    <t>TMBMBCA-06M</t>
  </si>
  <si>
    <t>TMBMBCA-01Y</t>
  </si>
  <si>
    <t>TMBMKCA-02Y</t>
  </si>
  <si>
    <t>TMBMKCA-04Y</t>
  </si>
  <si>
    <t>TMBMKCA-05Y</t>
  </si>
  <si>
    <t>TMBMKCA-06Y</t>
  </si>
  <si>
    <t>TMBMKCA-07Y</t>
  </si>
  <si>
    <t>TMBMKCA-08Y</t>
  </si>
  <si>
    <t>Price Error Sum:</t>
  </si>
  <si>
    <r>
      <rPr>
        <vertAlign val="super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 xml:space="preserve"> Bond data from https://www.marketwatch.com/investing/bond </t>
    </r>
  </si>
  <si>
    <r>
      <rPr>
        <vertAlign val="superscript"/>
        <sz val="11"/>
        <rFont val="Calibri"/>
        <family val="2"/>
        <scheme val="minor"/>
      </rPr>
      <t>2</t>
    </r>
    <r>
      <rPr>
        <sz val="11"/>
        <rFont val="Calibri"/>
        <family val="2"/>
        <scheme val="minor"/>
      </rPr>
      <t xml:space="preserve"> 1-Month T-Bill not found but yield on https://ycharts.com/indicators/canada_1_month_treasury_bill_yield</t>
    </r>
  </si>
  <si>
    <t>BEY
Spot Rates</t>
  </si>
  <si>
    <t>BEY Spot Rates</t>
  </si>
  <si>
    <t>Linear</t>
  </si>
  <si>
    <t>Annual</t>
  </si>
  <si>
    <t>Dividend</t>
  </si>
  <si>
    <t>Div. Yield</t>
  </si>
  <si>
    <t>Mean =</t>
  </si>
  <si>
    <t>https://www.blackrock.com/ca/individual/en/products/239727/ishares-sp-500-index-etf-cadhedged-fund?switchLocale=y&amp;siteEntryPassthrough=true</t>
  </si>
  <si>
    <t>https://www.barchart.com/stocks/quotes/XSP.TO/profile</t>
  </si>
  <si>
    <t>http://www.dividendchannel.com/symbol/xsp.ca/</t>
  </si>
  <si>
    <t>XSP</t>
  </si>
  <si>
    <t>r</t>
  </si>
  <si>
    <t>TMX-IV</t>
  </si>
  <si>
    <t>Cal-IV</t>
  </si>
  <si>
    <t>Evaluation Date:</t>
  </si>
  <si>
    <t>Canada Bond</t>
  </si>
  <si>
    <t>1-Month T-Bill</t>
  </si>
  <si>
    <t>3-Month T-Bill</t>
  </si>
  <si>
    <t>6-Month T-Bill</t>
  </si>
  <si>
    <t>1-Year T-Bill</t>
  </si>
  <si>
    <t>na</t>
  </si>
  <si>
    <t>T</t>
  </si>
  <si>
    <t>d1</t>
  </si>
  <si>
    <t>d2</t>
  </si>
  <si>
    <t>c</t>
  </si>
  <si>
    <t>|error|</t>
  </si>
  <si>
    <t>Option maturity =</t>
  </si>
  <si>
    <t>Strike Price =</t>
  </si>
  <si>
    <t>Divided Yield =</t>
  </si>
  <si>
    <t xml:space="preserve">Data from TMX: https://m-x.ca/nego_cotes_en.php?symbol=XSP*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</si>
</sst>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8" formatCode="0.0000%"/>
    <numFmt numFmtId="169" formatCode="[$-1009]mmm\ d\,\ yy;@"/>
    <numFmt numFmtId="170" formatCode="_-* #,##0.0000_-;\-* #,##0.0000_-;_-* &quot;-&quot;??_-;_-@_-"/>
    <numFmt numFmtId="171" formatCode="_-&quot;$&quot;* #,##0.000000_-;\-&quot;$&quot;* #,##0.000000_-;_-&quot;$&quot;* &quot;-&quot;??_-;_-@_-"/>
    <numFmt numFmtId="172" formatCode="_-&quot;$&quot;* #,##0.000_-;\-&quot;$&quot;* #,##0.000_-;_-&quot;$&quot;* &quot;-&quot;??_-;_-@_-"/>
    <numFmt numFmtId="173" formatCode="0.0"/>
    <numFmt numFmtId="174" formatCode="mmm\ dd\,\ yy"/>
    <numFmt numFmtId="175" formatCode="0.0%"/>
    <numFmt numFmtId="177" formatCode="_-* #,##0.000_-;\-* #,##0.000_-;_-* &quot;-&quot;??_-;_-@_-"/>
  </numFmts>
  <fonts count="1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b/>
      <i/>
      <sz val="11"/>
      <name val="Calibri"/>
      <family val="2"/>
      <scheme val="minor"/>
    </font>
    <font>
      <i/>
      <sz val="1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vertAlign val="superscript"/>
      <sz val="11"/>
      <name val="Calibri"/>
      <family val="2"/>
      <scheme val="minor"/>
    </font>
    <font>
      <u/>
      <sz val="10"/>
      <color theme="10"/>
      <name val="Arial"/>
      <family val="2"/>
    </font>
    <font>
      <sz val="10"/>
      <color rgb="FF222222"/>
      <name val="Arial"/>
      <family val="2"/>
    </font>
    <font>
      <sz val="10"/>
      <color rgb="FF000000"/>
      <name val="Arial"/>
      <family val="2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</borders>
  <cellStyleXfs count="16">
    <xf numFmtId="0" fontId="0" fillId="0" borderId="0"/>
    <xf numFmtId="0" fontId="3" fillId="0" borderId="0"/>
    <xf numFmtId="0" fontId="5" fillId="0" borderId="0"/>
    <xf numFmtId="0" fontId="5" fillId="0" borderId="0"/>
    <xf numFmtId="0" fontId="2" fillId="0" borderId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1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1" fillId="0" borderId="0"/>
    <xf numFmtId="44" fontId="5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99">
    <xf numFmtId="0" fontId="0" fillId="0" borderId="0" xfId="0"/>
    <xf numFmtId="0" fontId="5" fillId="0" borderId="0" xfId="2"/>
    <xf numFmtId="0" fontId="5" fillId="0" borderId="0" xfId="2" applyAlignment="1">
      <alignment horizontal="center"/>
    </xf>
    <xf numFmtId="0" fontId="5" fillId="0" borderId="0" xfId="2" applyAlignment="1">
      <alignment horizontal="right"/>
    </xf>
    <xf numFmtId="0" fontId="7" fillId="0" borderId="0" xfId="8" applyFont="1" applyAlignment="1">
      <alignment horizontal="right" wrapText="1"/>
    </xf>
    <xf numFmtId="0" fontId="7" fillId="0" borderId="0" xfId="8" applyFont="1" applyAlignment="1">
      <alignment wrapText="1"/>
    </xf>
    <xf numFmtId="169" fontId="7" fillId="0" borderId="0" xfId="8" applyNumberFormat="1" applyFont="1" applyAlignment="1">
      <alignment horizontal="right" wrapText="1"/>
    </xf>
    <xf numFmtId="0" fontId="7" fillId="0" borderId="0" xfId="8" applyFont="1" applyAlignment="1">
      <alignment wrapText="1"/>
    </xf>
    <xf numFmtId="0" fontId="1" fillId="0" borderId="0" xfId="8"/>
    <xf numFmtId="10" fontId="1" fillId="0" borderId="0" xfId="9" applyNumberFormat="1" applyFont="1"/>
    <xf numFmtId="170" fontId="7" fillId="0" borderId="0" xfId="10" applyNumberFormat="1" applyFont="1"/>
    <xf numFmtId="0" fontId="7" fillId="0" borderId="0" xfId="2" applyFont="1" applyAlignment="1">
      <alignment horizontal="right"/>
    </xf>
    <xf numFmtId="0" fontId="7" fillId="0" borderId="0" xfId="2" applyFont="1"/>
    <xf numFmtId="6" fontId="7" fillId="0" borderId="0" xfId="8" applyNumberFormat="1" applyFont="1" applyAlignment="1">
      <alignment horizontal="right" wrapText="1"/>
    </xf>
    <xf numFmtId="0" fontId="7" fillId="0" borderId="5" xfId="8" applyFont="1" applyBorder="1" applyAlignment="1">
      <alignment horizontal="right" wrapText="1"/>
    </xf>
    <xf numFmtId="0" fontId="8" fillId="0" borderId="0" xfId="8" applyFont="1" applyAlignment="1">
      <alignment horizontal="right" wrapText="1"/>
    </xf>
    <xf numFmtId="169" fontId="8" fillId="0" borderId="0" xfId="8" applyNumberFormat="1" applyFont="1" applyAlignment="1">
      <alignment horizontal="left" wrapText="1"/>
    </xf>
    <xf numFmtId="0" fontId="9" fillId="0" borderId="0" xfId="8" applyFont="1" applyAlignment="1">
      <alignment horizontal="right" wrapText="1"/>
    </xf>
    <xf numFmtId="0" fontId="7" fillId="0" borderId="0" xfId="2" applyFont="1" applyAlignment="1">
      <alignment horizontal="center"/>
    </xf>
    <xf numFmtId="0" fontId="7" fillId="0" borderId="2" xfId="8" applyFont="1" applyBorder="1" applyAlignment="1">
      <alignment horizontal="right" wrapText="1"/>
    </xf>
    <xf numFmtId="0" fontId="7" fillId="0" borderId="2" xfId="2" applyFont="1" applyBorder="1"/>
    <xf numFmtId="0" fontId="8" fillId="0" borderId="6" xfId="8" applyFont="1" applyBorder="1" applyAlignment="1">
      <alignment horizontal="right" wrapText="1"/>
    </xf>
    <xf numFmtId="0" fontId="8" fillId="0" borderId="7" xfId="8" applyFont="1" applyBorder="1" applyAlignment="1">
      <alignment horizontal="right" wrapText="1"/>
    </xf>
    <xf numFmtId="169" fontId="7" fillId="0" borderId="2" xfId="8" applyNumberFormat="1" applyFont="1" applyBorder="1" applyAlignment="1">
      <alignment horizontal="center" wrapText="1"/>
    </xf>
    <xf numFmtId="0" fontId="7" fillId="0" borderId="2" xfId="8" applyFont="1" applyBorder="1" applyAlignment="1">
      <alignment horizontal="center" wrapText="1"/>
    </xf>
    <xf numFmtId="0" fontId="1" fillId="0" borderId="2" xfId="8" applyBorder="1" applyAlignment="1">
      <alignment horizontal="center"/>
    </xf>
    <xf numFmtId="10" fontId="1" fillId="0" borderId="2" xfId="9" applyNumberFormat="1" applyFont="1" applyBorder="1" applyAlignment="1">
      <alignment horizontal="center"/>
    </xf>
    <xf numFmtId="170" fontId="7" fillId="0" borderId="2" xfId="10" applyNumberFormat="1" applyFont="1" applyBorder="1" applyAlignment="1">
      <alignment horizontal="center"/>
    </xf>
    <xf numFmtId="15" fontId="7" fillId="0" borderId="6" xfId="2" applyNumberFormat="1" applyFont="1" applyBorder="1" applyAlignment="1">
      <alignment horizontal="center" wrapText="1"/>
    </xf>
    <xf numFmtId="15" fontId="7" fillId="0" borderId="2" xfId="2" applyNumberFormat="1" applyFont="1" applyBorder="1" applyAlignment="1">
      <alignment horizontal="center" wrapText="1"/>
    </xf>
    <xf numFmtId="15" fontId="7" fillId="0" borderId="7" xfId="2" applyNumberFormat="1" applyFont="1" applyBorder="1" applyAlignment="1">
      <alignment horizontal="center" wrapText="1"/>
    </xf>
    <xf numFmtId="0" fontId="7" fillId="0" borderId="0" xfId="2" applyFont="1" applyAlignment="1">
      <alignment horizontal="center"/>
    </xf>
    <xf numFmtId="0" fontId="7" fillId="0" borderId="8" xfId="8" applyFont="1" applyBorder="1" applyAlignment="1">
      <alignment horizontal="center" wrapText="1"/>
    </xf>
    <xf numFmtId="0" fontId="7" fillId="0" borderId="9" xfId="8" applyFont="1" applyBorder="1" applyAlignment="1">
      <alignment horizontal="center" wrapText="1"/>
    </xf>
    <xf numFmtId="169" fontId="7" fillId="0" borderId="0" xfId="8" applyNumberFormat="1" applyFont="1" applyAlignment="1">
      <alignment horizontal="center" wrapText="1"/>
    </xf>
    <xf numFmtId="0" fontId="7" fillId="0" borderId="0" xfId="8" applyFont="1" applyAlignment="1">
      <alignment horizontal="center" wrapText="1"/>
    </xf>
    <xf numFmtId="0" fontId="1" fillId="0" borderId="0" xfId="8" applyAlignment="1">
      <alignment horizontal="center"/>
    </xf>
    <xf numFmtId="10" fontId="1" fillId="0" borderId="0" xfId="9" applyNumberFormat="1" applyFont="1" applyAlignment="1">
      <alignment horizontal="center"/>
    </xf>
    <xf numFmtId="170" fontId="7" fillId="0" borderId="0" xfId="10" applyNumberFormat="1" applyFont="1" applyAlignment="1">
      <alignment horizontal="center"/>
    </xf>
    <xf numFmtId="0" fontId="7" fillId="0" borderId="8" xfId="2" applyFont="1" applyBorder="1" applyAlignment="1">
      <alignment horizontal="center"/>
    </xf>
    <xf numFmtId="0" fontId="7" fillId="0" borderId="9" xfId="2" applyFont="1" applyBorder="1" applyAlignment="1">
      <alignment horizontal="center"/>
    </xf>
    <xf numFmtId="0" fontId="1" fillId="0" borderId="5" xfId="8" applyBorder="1" applyAlignment="1">
      <alignment wrapText="1"/>
    </xf>
    <xf numFmtId="0" fontId="11" fillId="0" borderId="5" xfId="8" applyFont="1" applyBorder="1" applyAlignment="1">
      <alignment horizontal="right" wrapText="1"/>
    </xf>
    <xf numFmtId="0" fontId="11" fillId="0" borderId="5" xfId="8" applyFont="1" applyBorder="1" applyAlignment="1">
      <alignment horizontal="center" wrapText="1"/>
    </xf>
    <xf numFmtId="0" fontId="11" fillId="0" borderId="10" xfId="8" applyFont="1" applyBorder="1" applyAlignment="1">
      <alignment horizontal="right" wrapText="1"/>
    </xf>
    <xf numFmtId="0" fontId="11" fillId="0" borderId="11" xfId="8" applyFont="1" applyBorder="1" applyAlignment="1">
      <alignment horizontal="center" wrapText="1"/>
    </xf>
    <xf numFmtId="10" fontId="11" fillId="0" borderId="5" xfId="9" applyNumberFormat="1" applyFont="1" applyBorder="1" applyAlignment="1">
      <alignment horizontal="center" wrapText="1"/>
    </xf>
    <xf numFmtId="170" fontId="11" fillId="0" borderId="5" xfId="10" applyNumberFormat="1" applyFont="1" applyBorder="1" applyAlignment="1">
      <alignment horizontal="center" wrapText="1"/>
    </xf>
    <xf numFmtId="0" fontId="7" fillId="0" borderId="5" xfId="2" applyFont="1" applyBorder="1" applyAlignment="1">
      <alignment horizontal="right"/>
    </xf>
    <xf numFmtId="0" fontId="7" fillId="0" borderId="10" xfId="2" applyFont="1" applyBorder="1" applyAlignment="1">
      <alignment horizontal="center"/>
    </xf>
    <xf numFmtId="0" fontId="7" fillId="0" borderId="5" xfId="2" applyFont="1" applyBorder="1" applyAlignment="1">
      <alignment horizontal="center"/>
    </xf>
    <xf numFmtId="0" fontId="7" fillId="0" borderId="11" xfId="2" applyFont="1" applyBorder="1" applyAlignment="1">
      <alignment horizontal="center"/>
    </xf>
    <xf numFmtId="10" fontId="11" fillId="2" borderId="2" xfId="9" applyNumberFormat="1" applyFont="1" applyFill="1" applyBorder="1" applyAlignment="1">
      <alignment horizontal="right" wrapText="1"/>
    </xf>
    <xf numFmtId="169" fontId="1" fillId="2" borderId="2" xfId="11" applyNumberFormat="1" applyFill="1" applyBorder="1"/>
    <xf numFmtId="170" fontId="11" fillId="0" borderId="2" xfId="10" applyNumberFormat="1" applyFont="1" applyBorder="1" applyAlignment="1">
      <alignment horizontal="right" wrapText="1"/>
    </xf>
    <xf numFmtId="10" fontId="7" fillId="0" borderId="6" xfId="9" applyNumberFormat="1" applyFont="1" applyBorder="1"/>
    <xf numFmtId="8" fontId="11" fillId="2" borderId="7" xfId="8" applyNumberFormat="1" applyFont="1" applyFill="1" applyBorder="1" applyAlignment="1">
      <alignment horizontal="right" wrapText="1"/>
    </xf>
    <xf numFmtId="0" fontId="7" fillId="2" borderId="2" xfId="8" applyFont="1" applyFill="1" applyBorder="1" applyAlignment="1">
      <alignment horizontal="right" wrapText="1"/>
    </xf>
    <xf numFmtId="8" fontId="7" fillId="2" borderId="2" xfId="8" applyNumberFormat="1" applyFont="1" applyFill="1" applyBorder="1" applyAlignment="1">
      <alignment horizontal="right" wrapText="1"/>
    </xf>
    <xf numFmtId="171" fontId="7" fillId="2" borderId="2" xfId="12" applyNumberFormat="1" applyFont="1" applyFill="1" applyBorder="1" applyAlignment="1">
      <alignment horizontal="right" wrapText="1"/>
    </xf>
    <xf numFmtId="44" fontId="7" fillId="2" borderId="2" xfId="12" applyFont="1" applyFill="1" applyBorder="1" applyAlignment="1">
      <alignment wrapText="1"/>
    </xf>
    <xf numFmtId="172" fontId="7" fillId="2" borderId="2" xfId="12" applyNumberFormat="1" applyFont="1" applyFill="1" applyBorder="1"/>
    <xf numFmtId="10" fontId="7" fillId="0" borderId="2" xfId="9" applyNumberFormat="1" applyFont="1" applyBorder="1"/>
    <xf numFmtId="170" fontId="7" fillId="0" borderId="2" xfId="10" applyNumberFormat="1" applyFont="1" applyBorder="1"/>
    <xf numFmtId="169" fontId="1" fillId="0" borderId="2" xfId="11" applyNumberFormat="1" applyBorder="1"/>
    <xf numFmtId="170" fontId="7" fillId="0" borderId="6" xfId="10" applyNumberFormat="1" applyFont="1" applyBorder="1" applyAlignment="1">
      <alignment horizontal="center"/>
    </xf>
    <xf numFmtId="10" fontId="7" fillId="0" borderId="2" xfId="9" applyNumberFormat="1" applyFont="1" applyBorder="1" applyAlignment="1">
      <alignment horizontal="center"/>
    </xf>
    <xf numFmtId="0" fontId="7" fillId="0" borderId="7" xfId="2" applyFont="1" applyBorder="1" applyAlignment="1">
      <alignment horizontal="center"/>
    </xf>
    <xf numFmtId="0" fontId="7" fillId="0" borderId="2" xfId="2" applyFont="1" applyBorder="1" applyAlignment="1">
      <alignment horizontal="center"/>
    </xf>
    <xf numFmtId="10" fontId="11" fillId="2" borderId="0" xfId="9" applyNumberFormat="1" applyFont="1" applyFill="1" applyAlignment="1">
      <alignment horizontal="right" wrapText="1"/>
    </xf>
    <xf numFmtId="169" fontId="1" fillId="2" borderId="0" xfId="11" applyNumberFormat="1" applyFill="1"/>
    <xf numFmtId="170" fontId="11" fillId="0" borderId="0" xfId="10" applyNumberFormat="1" applyFont="1" applyAlignment="1">
      <alignment horizontal="right" wrapText="1"/>
    </xf>
    <xf numFmtId="10" fontId="7" fillId="0" borderId="8" xfId="9" applyNumberFormat="1" applyFont="1" applyBorder="1"/>
    <xf numFmtId="8" fontId="11" fillId="2" borderId="9" xfId="8" applyNumberFormat="1" applyFont="1" applyFill="1" applyBorder="1" applyAlignment="1">
      <alignment horizontal="right" wrapText="1"/>
    </xf>
    <xf numFmtId="0" fontId="7" fillId="2" borderId="0" xfId="8" applyFont="1" applyFill="1" applyAlignment="1">
      <alignment horizontal="right" wrapText="1"/>
    </xf>
    <xf numFmtId="8" fontId="7" fillId="2" borderId="0" xfId="8" applyNumberFormat="1" applyFont="1" applyFill="1" applyAlignment="1">
      <alignment horizontal="right" wrapText="1"/>
    </xf>
    <xf numFmtId="171" fontId="7" fillId="2" borderId="0" xfId="12" applyNumberFormat="1" applyFont="1" applyFill="1" applyAlignment="1">
      <alignment horizontal="right" wrapText="1"/>
    </xf>
    <xf numFmtId="44" fontId="7" fillId="2" borderId="0" xfId="12" applyFont="1" applyFill="1" applyAlignment="1">
      <alignment wrapText="1"/>
    </xf>
    <xf numFmtId="172" fontId="7" fillId="2" borderId="0" xfId="12" applyNumberFormat="1" applyFont="1" applyFill="1"/>
    <xf numFmtId="10" fontId="7" fillId="0" borderId="0" xfId="9" applyNumberFormat="1" applyFont="1"/>
    <xf numFmtId="169" fontId="1" fillId="0" borderId="0" xfId="11" applyNumberFormat="1"/>
    <xf numFmtId="170" fontId="7" fillId="0" borderId="8" xfId="10" applyNumberFormat="1" applyFont="1" applyBorder="1" applyAlignment="1">
      <alignment horizontal="center"/>
    </xf>
    <xf numFmtId="10" fontId="7" fillId="0" borderId="0" xfId="9" applyNumberFormat="1" applyFont="1" applyAlignment="1">
      <alignment horizontal="center"/>
    </xf>
    <xf numFmtId="10" fontId="11" fillId="0" borderId="0" xfId="9" applyNumberFormat="1" applyFont="1" applyAlignment="1">
      <alignment horizontal="right" wrapText="1"/>
    </xf>
    <xf numFmtId="10" fontId="11" fillId="0" borderId="8" xfId="9" applyNumberFormat="1" applyFont="1" applyBorder="1" applyAlignment="1">
      <alignment horizontal="right" wrapText="1"/>
    </xf>
    <xf numFmtId="8" fontId="11" fillId="0" borderId="9" xfId="8" applyNumberFormat="1" applyFont="1" applyBorder="1" applyAlignment="1">
      <alignment horizontal="right" wrapText="1"/>
    </xf>
    <xf numFmtId="8" fontId="7" fillId="0" borderId="0" xfId="8" applyNumberFormat="1" applyFont="1" applyAlignment="1">
      <alignment horizontal="right" wrapText="1"/>
    </xf>
    <xf numFmtId="44" fontId="7" fillId="0" borderId="0" xfId="12" applyFont="1" applyAlignment="1">
      <alignment horizontal="right" wrapText="1"/>
    </xf>
    <xf numFmtId="44" fontId="7" fillId="0" borderId="0" xfId="12" applyFont="1" applyAlignment="1">
      <alignment wrapText="1"/>
    </xf>
    <xf numFmtId="172" fontId="7" fillId="0" borderId="0" xfId="12" applyNumberFormat="1" applyFont="1"/>
    <xf numFmtId="0" fontId="7" fillId="0" borderId="5" xfId="2" applyFont="1" applyBorder="1"/>
    <xf numFmtId="10" fontId="11" fillId="0" borderId="5" xfId="9" applyNumberFormat="1" applyFont="1" applyBorder="1" applyAlignment="1">
      <alignment horizontal="right" wrapText="1"/>
    </xf>
    <xf numFmtId="169" fontId="1" fillId="0" borderId="5" xfId="11" applyNumberFormat="1" applyBorder="1"/>
    <xf numFmtId="170" fontId="11" fillId="0" borderId="5" xfId="10" applyNumberFormat="1" applyFont="1" applyBorder="1" applyAlignment="1">
      <alignment horizontal="right" wrapText="1"/>
    </xf>
    <xf numFmtId="10" fontId="11" fillId="0" borderId="10" xfId="9" applyNumberFormat="1" applyFont="1" applyBorder="1" applyAlignment="1">
      <alignment horizontal="right" wrapText="1"/>
    </xf>
    <xf numFmtId="8" fontId="11" fillId="0" borderId="11" xfId="8" applyNumberFormat="1" applyFont="1" applyBorder="1" applyAlignment="1">
      <alignment horizontal="right" wrapText="1"/>
    </xf>
    <xf numFmtId="8" fontId="7" fillId="0" borderId="5" xfId="8" applyNumberFormat="1" applyFont="1" applyBorder="1" applyAlignment="1">
      <alignment horizontal="right" wrapText="1"/>
    </xf>
    <xf numFmtId="44" fontId="7" fillId="0" borderId="5" xfId="12" applyFont="1" applyBorder="1" applyAlignment="1">
      <alignment horizontal="right" wrapText="1"/>
    </xf>
    <xf numFmtId="44" fontId="7" fillId="0" borderId="5" xfId="12" applyFont="1" applyBorder="1" applyAlignment="1">
      <alignment wrapText="1"/>
    </xf>
    <xf numFmtId="172" fontId="7" fillId="0" borderId="5" xfId="12" applyNumberFormat="1" applyFont="1" applyBorder="1"/>
    <xf numFmtId="10" fontId="7" fillId="0" borderId="5" xfId="9" applyNumberFormat="1" applyFont="1" applyBorder="1"/>
    <xf numFmtId="170" fontId="7" fillId="0" borderId="5" xfId="10" applyNumberFormat="1" applyFont="1" applyBorder="1"/>
    <xf numFmtId="0" fontId="1" fillId="0" borderId="2" xfId="8" applyBorder="1" applyAlignment="1">
      <alignment horizontal="left"/>
    </xf>
    <xf numFmtId="0" fontId="1" fillId="0" borderId="0" xfId="8" applyAlignment="1">
      <alignment horizontal="right"/>
    </xf>
    <xf numFmtId="172" fontId="1" fillId="0" borderId="0" xfId="8" applyNumberFormat="1"/>
    <xf numFmtId="170" fontId="1" fillId="0" borderId="0" xfId="10" applyNumberFormat="1" applyFont="1"/>
    <xf numFmtId="170" fontId="7" fillId="0" borderId="10" xfId="10" applyNumberFormat="1" applyFont="1" applyBorder="1" applyAlignment="1">
      <alignment horizontal="center"/>
    </xf>
    <xf numFmtId="10" fontId="7" fillId="0" borderId="5" xfId="9" applyNumberFormat="1" applyFont="1" applyBorder="1" applyAlignment="1">
      <alignment horizontal="center"/>
    </xf>
    <xf numFmtId="170" fontId="7" fillId="0" borderId="5" xfId="10" applyNumberFormat="1" applyFont="1" applyBorder="1" applyAlignment="1">
      <alignment horizontal="center"/>
    </xf>
    <xf numFmtId="0" fontId="7" fillId="2" borderId="2" xfId="2" applyFont="1" applyFill="1" applyBorder="1"/>
    <xf numFmtId="170" fontId="11" fillId="2" borderId="2" xfId="10" applyNumberFormat="1" applyFont="1" applyFill="1" applyBorder="1" applyAlignment="1">
      <alignment horizontal="right" wrapText="1"/>
    </xf>
    <xf numFmtId="10" fontId="7" fillId="3" borderId="6" xfId="9" applyNumberFormat="1" applyFont="1" applyFill="1" applyBorder="1"/>
    <xf numFmtId="0" fontId="7" fillId="2" borderId="0" xfId="2" applyFont="1" applyFill="1"/>
    <xf numFmtId="170" fontId="11" fillId="2" borderId="0" xfId="10" applyNumberFormat="1" applyFont="1" applyFill="1" applyAlignment="1">
      <alignment horizontal="right" wrapText="1"/>
    </xf>
    <xf numFmtId="10" fontId="7" fillId="3" borderId="8" xfId="9" applyNumberFormat="1" applyFont="1" applyFill="1" applyBorder="1"/>
    <xf numFmtId="170" fontId="11" fillId="3" borderId="0" xfId="10" applyNumberFormat="1" applyFont="1" applyFill="1" applyAlignment="1">
      <alignment horizontal="right" wrapText="1"/>
    </xf>
    <xf numFmtId="10" fontId="11" fillId="3" borderId="8" xfId="9" applyNumberFormat="1" applyFont="1" applyFill="1" applyBorder="1" applyAlignment="1">
      <alignment horizontal="right" wrapText="1"/>
    </xf>
    <xf numFmtId="8" fontId="7" fillId="0" borderId="0" xfId="12" applyNumberFormat="1" applyFont="1" applyAlignment="1">
      <alignment horizontal="right" wrapText="1"/>
    </xf>
    <xf numFmtId="0" fontId="7" fillId="2" borderId="5" xfId="2" applyFont="1" applyFill="1" applyBorder="1"/>
    <xf numFmtId="10" fontId="11" fillId="2" borderId="5" xfId="9" applyNumberFormat="1" applyFont="1" applyFill="1" applyBorder="1" applyAlignment="1">
      <alignment horizontal="right" wrapText="1"/>
    </xf>
    <xf numFmtId="169" fontId="1" fillId="2" borderId="5" xfId="11" applyNumberFormat="1" applyFill="1" applyBorder="1"/>
    <xf numFmtId="10" fontId="11" fillId="3" borderId="10" xfId="9" applyNumberFormat="1" applyFont="1" applyFill="1" applyBorder="1" applyAlignment="1">
      <alignment horizontal="right" wrapText="1"/>
    </xf>
    <xf numFmtId="0" fontId="7" fillId="0" borderId="0" xfId="2" applyFont="1" applyAlignment="1">
      <alignment horizontal="left"/>
    </xf>
    <xf numFmtId="0" fontId="7" fillId="0" borderId="2" xfId="2" applyFont="1" applyBorder="1" applyAlignment="1">
      <alignment horizontal="center" wrapText="1"/>
    </xf>
    <xf numFmtId="2" fontId="7" fillId="0" borderId="2" xfId="2" applyNumberFormat="1" applyFont="1" applyBorder="1" applyAlignment="1">
      <alignment horizontal="center" wrapText="1"/>
    </xf>
    <xf numFmtId="0" fontId="7" fillId="0" borderId="1" xfId="2" applyFont="1" applyBorder="1" applyAlignment="1">
      <alignment horizontal="center" wrapText="1"/>
    </xf>
    <xf numFmtId="2" fontId="7" fillId="0" borderId="2" xfId="2" applyNumberFormat="1" applyFont="1" applyBorder="1" applyAlignment="1">
      <alignment horizontal="center"/>
    </xf>
    <xf numFmtId="0" fontId="7" fillId="0" borderId="5" xfId="2" applyFont="1" applyBorder="1" applyAlignment="1">
      <alignment horizontal="center" wrapText="1"/>
    </xf>
    <xf numFmtId="0" fontId="7" fillId="0" borderId="4" xfId="2" applyFont="1" applyBorder="1" applyAlignment="1">
      <alignment horizontal="center" wrapText="1"/>
    </xf>
    <xf numFmtId="2" fontId="7" fillId="4" borderId="2" xfId="10" applyNumberFormat="1" applyFont="1" applyFill="1" applyBorder="1" applyAlignment="1">
      <alignment horizontal="center"/>
    </xf>
    <xf numFmtId="168" fontId="7" fillId="4" borderId="2" xfId="9" applyNumberFormat="1" applyFont="1" applyFill="1" applyBorder="1" applyAlignment="1">
      <alignment horizontal="center"/>
    </xf>
    <xf numFmtId="173" fontId="7" fillId="0" borderId="1" xfId="10" applyNumberFormat="1" applyFont="1" applyBorder="1" applyAlignment="1">
      <alignment horizontal="center"/>
    </xf>
    <xf numFmtId="168" fontId="7" fillId="0" borderId="2" xfId="9" applyNumberFormat="1" applyFont="1" applyBorder="1" applyAlignment="1">
      <alignment horizontal="center"/>
    </xf>
    <xf numFmtId="2" fontId="7" fillId="5" borderId="0" xfId="10" applyNumberFormat="1" applyFont="1" applyFill="1" applyAlignment="1">
      <alignment horizontal="center"/>
    </xf>
    <xf numFmtId="168" fontId="7" fillId="5" borderId="0" xfId="9" applyNumberFormat="1" applyFont="1" applyFill="1" applyAlignment="1">
      <alignment horizontal="center"/>
    </xf>
    <xf numFmtId="173" fontId="7" fillId="0" borderId="3" xfId="10" applyNumberFormat="1" applyFont="1" applyBorder="1" applyAlignment="1">
      <alignment horizontal="center"/>
    </xf>
    <xf numFmtId="168" fontId="7" fillId="0" borderId="0" xfId="9" applyNumberFormat="1" applyFont="1" applyAlignment="1">
      <alignment horizontal="center"/>
    </xf>
    <xf numFmtId="173" fontId="7" fillId="0" borderId="0" xfId="10" applyNumberFormat="1" applyFont="1" applyAlignment="1">
      <alignment horizontal="center"/>
    </xf>
    <xf numFmtId="2" fontId="7" fillId="5" borderId="3" xfId="10" applyNumberFormat="1" applyFont="1" applyFill="1" applyBorder="1" applyAlignment="1">
      <alignment horizontal="center"/>
    </xf>
    <xf numFmtId="173" fontId="7" fillId="0" borderId="5" xfId="10" applyNumberFormat="1" applyFont="1" applyBorder="1" applyAlignment="1">
      <alignment horizontal="center"/>
    </xf>
    <xf numFmtId="168" fontId="7" fillId="0" borderId="5" xfId="9" applyNumberFormat="1" applyFont="1" applyBorder="1" applyAlignment="1">
      <alignment horizontal="center"/>
    </xf>
    <xf numFmtId="173" fontId="7" fillId="0" borderId="4" xfId="10" applyNumberFormat="1" applyFont="1" applyBorder="1" applyAlignment="1">
      <alignment horizontal="center"/>
    </xf>
    <xf numFmtId="17" fontId="5" fillId="0" borderId="12" xfId="2" applyNumberFormat="1" applyBorder="1" applyAlignment="1">
      <alignment horizontal="center"/>
    </xf>
    <xf numFmtId="172" fontId="14" fillId="4" borderId="12" xfId="12" applyNumberFormat="1" applyFont="1" applyFill="1" applyBorder="1" applyAlignment="1">
      <alignment horizontal="right" vertical="center" wrapText="1"/>
    </xf>
    <xf numFmtId="44" fontId="0" fillId="4" borderId="12" xfId="12" applyFont="1" applyFill="1" applyBorder="1"/>
    <xf numFmtId="10" fontId="0" fillId="4" borderId="12" xfId="9" applyNumberFormat="1" applyFont="1" applyFill="1" applyBorder="1"/>
    <xf numFmtId="17" fontId="5" fillId="0" borderId="0" xfId="2" applyNumberFormat="1" applyAlignment="1">
      <alignment horizontal="center"/>
    </xf>
    <xf numFmtId="172" fontId="14" fillId="4" borderId="0" xfId="12" applyNumberFormat="1" applyFont="1" applyFill="1" applyAlignment="1">
      <alignment horizontal="right" vertical="center" wrapText="1"/>
    </xf>
    <xf numFmtId="44" fontId="0" fillId="4" borderId="0" xfId="12" applyFont="1" applyFill="1"/>
    <xf numFmtId="10" fontId="0" fillId="4" borderId="0" xfId="9" applyNumberFormat="1" applyFont="1" applyFill="1"/>
    <xf numFmtId="17" fontId="5" fillId="0" borderId="5" xfId="2" applyNumberFormat="1" applyBorder="1" applyAlignment="1">
      <alignment horizontal="center"/>
    </xf>
    <xf numFmtId="172" fontId="14" fillId="4" borderId="5" xfId="12" applyNumberFormat="1" applyFont="1" applyFill="1" applyBorder="1" applyAlignment="1">
      <alignment horizontal="right" vertical="center" wrapText="1"/>
    </xf>
    <xf numFmtId="44" fontId="0" fillId="4" borderId="5" xfId="12" applyFont="1" applyFill="1" applyBorder="1"/>
    <xf numFmtId="10" fontId="0" fillId="4" borderId="5" xfId="9" applyNumberFormat="1" applyFont="1" applyFill="1" applyBorder="1"/>
    <xf numFmtId="10" fontId="5" fillId="0" borderId="0" xfId="2" applyNumberFormat="1"/>
    <xf numFmtId="0" fontId="13" fillId="0" borderId="0" xfId="13" applyAlignment="1">
      <alignment horizontal="left"/>
    </xf>
    <xf numFmtId="174" fontId="5" fillId="0" borderId="12" xfId="2" applyNumberFormat="1" applyBorder="1" applyAlignment="1">
      <alignment horizontal="center"/>
    </xf>
    <xf numFmtId="44" fontId="0" fillId="0" borderId="12" xfId="12" applyFont="1" applyBorder="1" applyAlignment="1">
      <alignment horizontal="center"/>
    </xf>
    <xf numFmtId="175" fontId="0" fillId="0" borderId="12" xfId="9" applyNumberFormat="1" applyFont="1" applyBorder="1" applyAlignment="1">
      <alignment horizontal="center" vertical="center"/>
    </xf>
    <xf numFmtId="44" fontId="0" fillId="0" borderId="12" xfId="12" applyFont="1" applyBorder="1"/>
    <xf numFmtId="175" fontId="0" fillId="0" borderId="12" xfId="9" applyNumberFormat="1" applyFont="1" applyBorder="1"/>
    <xf numFmtId="174" fontId="5" fillId="0" borderId="5" xfId="2" applyNumberFormat="1" applyBorder="1" applyAlignment="1">
      <alignment horizontal="center"/>
    </xf>
    <xf numFmtId="44" fontId="0" fillId="0" borderId="5" xfId="12" applyFont="1" applyBorder="1" applyAlignment="1">
      <alignment horizontal="center"/>
    </xf>
    <xf numFmtId="175" fontId="0" fillId="0" borderId="5" xfId="9" applyNumberFormat="1" applyFont="1" applyBorder="1" applyAlignment="1">
      <alignment horizontal="center" vertical="center"/>
    </xf>
    <xf numFmtId="44" fontId="0" fillId="0" borderId="5" xfId="12" applyFont="1" applyBorder="1"/>
    <xf numFmtId="175" fontId="0" fillId="0" borderId="5" xfId="9" applyNumberFormat="1" applyFont="1" applyBorder="1"/>
    <xf numFmtId="0" fontId="1" fillId="0" borderId="0" xfId="14"/>
    <xf numFmtId="16" fontId="1" fillId="0" borderId="0" xfId="14" applyNumberFormat="1"/>
    <xf numFmtId="174" fontId="1" fillId="0" borderId="0" xfId="14" applyNumberFormat="1"/>
    <xf numFmtId="0" fontId="1" fillId="0" borderId="0" xfId="14" applyAlignment="1">
      <alignment horizontal="center"/>
    </xf>
    <xf numFmtId="10" fontId="0" fillId="0" borderId="0" xfId="15" applyNumberFormat="1" applyFont="1"/>
    <xf numFmtId="10" fontId="0" fillId="6" borderId="0" xfId="15" applyNumberFormat="1" applyFont="1" applyFill="1"/>
    <xf numFmtId="169" fontId="16" fillId="2" borderId="0" xfId="11" applyNumberFormat="1" applyFont="1" applyFill="1"/>
    <xf numFmtId="170" fontId="9" fillId="2" borderId="8" xfId="10" applyNumberFormat="1" applyFont="1" applyFill="1" applyBorder="1" applyAlignment="1">
      <alignment horizontal="center"/>
    </xf>
    <xf numFmtId="10" fontId="9" fillId="2" borderId="0" xfId="9" applyNumberFormat="1" applyFont="1" applyFill="1" applyAlignment="1">
      <alignment horizontal="center"/>
    </xf>
    <xf numFmtId="0" fontId="9" fillId="2" borderId="9" xfId="2" applyFont="1" applyFill="1" applyBorder="1" applyAlignment="1">
      <alignment horizontal="center"/>
    </xf>
    <xf numFmtId="170" fontId="9" fillId="2" borderId="0" xfId="10" applyNumberFormat="1" applyFont="1" applyFill="1" applyAlignment="1">
      <alignment horizontal="center"/>
    </xf>
    <xf numFmtId="0" fontId="9" fillId="2" borderId="0" xfId="2" applyFont="1" applyFill="1" applyAlignment="1">
      <alignment horizontal="center"/>
    </xf>
    <xf numFmtId="10" fontId="0" fillId="2" borderId="12" xfId="12" applyNumberFormat="1" applyFont="1" applyFill="1" applyBorder="1" applyAlignment="1">
      <alignment horizontal="center"/>
    </xf>
    <xf numFmtId="10" fontId="0" fillId="2" borderId="5" xfId="12" applyNumberFormat="1" applyFont="1" applyFill="1" applyBorder="1" applyAlignment="1">
      <alignment horizontal="center"/>
    </xf>
    <xf numFmtId="43" fontId="0" fillId="2" borderId="5" xfId="5" applyFont="1" applyFill="1" applyBorder="1" applyAlignment="1">
      <alignment horizontal="center"/>
    </xf>
    <xf numFmtId="43" fontId="5" fillId="2" borderId="12" xfId="5" applyNumberFormat="1" applyFont="1" applyFill="1" applyBorder="1" applyAlignment="1">
      <alignment horizontal="center"/>
    </xf>
    <xf numFmtId="174" fontId="5" fillId="0" borderId="0" xfId="2" applyNumberFormat="1" applyBorder="1" applyAlignment="1">
      <alignment horizontal="left"/>
    </xf>
    <xf numFmtId="10" fontId="5" fillId="0" borderId="0" xfId="7" applyNumberFormat="1" applyFont="1" applyBorder="1" applyAlignment="1">
      <alignment horizontal="left"/>
    </xf>
    <xf numFmtId="17" fontId="5" fillId="0" borderId="0" xfId="2" applyNumberFormat="1" applyBorder="1" applyAlignment="1">
      <alignment horizontal="center"/>
    </xf>
    <xf numFmtId="0" fontId="15" fillId="0" borderId="0" xfId="2" applyFont="1" applyBorder="1" applyAlignment="1">
      <alignment horizontal="left"/>
    </xf>
    <xf numFmtId="0" fontId="5" fillId="0" borderId="0" xfId="2" applyBorder="1" applyAlignment="1">
      <alignment horizontal="center" vertical="center"/>
    </xf>
    <xf numFmtId="174" fontId="5" fillId="0" borderId="0" xfId="2" applyNumberFormat="1" applyBorder="1" applyAlignment="1">
      <alignment horizontal="left"/>
    </xf>
    <xf numFmtId="0" fontId="5" fillId="0" borderId="0" xfId="2" applyBorder="1"/>
    <xf numFmtId="177" fontId="0" fillId="0" borderId="12" xfId="5" applyNumberFormat="1" applyFont="1" applyBorder="1" applyAlignment="1">
      <alignment horizontal="center" vertical="center"/>
    </xf>
    <xf numFmtId="177" fontId="0" fillId="0" borderId="5" xfId="5" applyNumberFormat="1" applyFont="1" applyBorder="1" applyAlignment="1">
      <alignment horizontal="center" vertical="center"/>
    </xf>
    <xf numFmtId="44" fontId="0" fillId="0" borderId="12" xfId="6" applyFont="1" applyBorder="1" applyAlignment="1">
      <alignment horizontal="center" vertical="center"/>
    </xf>
    <xf numFmtId="44" fontId="0" fillId="0" borderId="5" xfId="6" applyFont="1" applyBorder="1" applyAlignment="1">
      <alignment horizontal="center" vertical="center"/>
    </xf>
    <xf numFmtId="10" fontId="5" fillId="0" borderId="0" xfId="7" applyNumberFormat="1" applyFont="1" applyBorder="1" applyAlignment="1">
      <alignment horizontal="right"/>
    </xf>
    <xf numFmtId="174" fontId="5" fillId="0" borderId="0" xfId="2" applyNumberFormat="1" applyBorder="1" applyAlignment="1">
      <alignment horizontal="right"/>
    </xf>
    <xf numFmtId="17" fontId="5" fillId="0" borderId="0" xfId="2" applyNumberFormat="1" applyBorder="1" applyAlignment="1">
      <alignment horizontal="right"/>
    </xf>
    <xf numFmtId="0" fontId="17" fillId="0" borderId="2" xfId="0" applyFont="1" applyBorder="1" applyAlignment="1">
      <alignment horizontal="left"/>
    </xf>
    <xf numFmtId="175" fontId="4" fillId="0" borderId="12" xfId="9" applyNumberFormat="1" applyFont="1" applyBorder="1"/>
    <xf numFmtId="175" fontId="4" fillId="0" borderId="5" xfId="9" applyNumberFormat="1" applyFont="1" applyBorder="1"/>
  </cellXfs>
  <cellStyles count="16">
    <cellStyle name="Comma" xfId="5" builtinId="3"/>
    <cellStyle name="Comma 2" xfId="10" xr:uid="{86423BD2-65CF-429A-B9C3-2EC08F321A9A}"/>
    <cellStyle name="Currency" xfId="6" builtinId="4"/>
    <cellStyle name="Currency 2" xfId="12" xr:uid="{04EBF8CC-5DF9-4CD7-AFC3-D9CB7C1A2783}"/>
    <cellStyle name="Hyperlink" xfId="13" builtinId="8"/>
    <cellStyle name="Normal" xfId="0" builtinId="0"/>
    <cellStyle name="Normal 2" xfId="1" xr:uid="{00000000-0005-0000-0000-000001000000}"/>
    <cellStyle name="Normal 2 2" xfId="8" xr:uid="{EB4DAEBE-315F-40B9-8ED3-A3FD57F79138}"/>
    <cellStyle name="Normal 3" xfId="2" xr:uid="{00000000-0005-0000-0000-000002000000}"/>
    <cellStyle name="Normal 3 2" xfId="3" xr:uid="{00000000-0005-0000-0000-000003000000}"/>
    <cellStyle name="Normal 4" xfId="11" xr:uid="{454B00FB-3ED3-4F70-9A97-F05A41D9057A}"/>
    <cellStyle name="Normal 5" xfId="4" xr:uid="{0B376528-1DA7-48C9-A087-17761E079C00}"/>
    <cellStyle name="Normal 7" xfId="14" xr:uid="{F8E78DCF-DF24-409C-AAE8-C3A5C7B1383A}"/>
    <cellStyle name="Percent" xfId="7" builtinId="5"/>
    <cellStyle name="Percent 2" xfId="9" xr:uid="{1091A5D4-C1BD-4D31-8115-A91F780A201F}"/>
    <cellStyle name="Percent 3" xfId="15" xr:uid="{7A485B4A-D301-47EA-81CA-1F7334AA43E9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415064396020266E-2"/>
          <c:y val="2.2395587855687075E-2"/>
          <c:w val="0.85503067203808836"/>
          <c:h val="0.85698929840535576"/>
        </c:manualLayout>
      </c:layout>
      <c:scatterChart>
        <c:scatterStyle val="lineMarker"/>
        <c:varyColors val="0"/>
        <c:ser>
          <c:idx val="0"/>
          <c:order val="0"/>
          <c:tx>
            <c:v>Feb Data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5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'Discount-Factors'!$D$7:$D$16</c:f>
              <c:numCache>
                <c:formatCode>_-* #,##0.0000_-;\-* #,##0.0000_-;_-* "-"??_-;_-@_-</c:formatCode>
                <c:ptCount val="10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1.9342465753424658</c:v>
                </c:pt>
                <c:pt idx="5">
                  <c:v>3.515068493150685</c:v>
                </c:pt>
                <c:pt idx="6">
                  <c:v>5.015068493150685</c:v>
                </c:pt>
                <c:pt idx="7">
                  <c:v>5.2643835616438359</c:v>
                </c:pt>
                <c:pt idx="8">
                  <c:v>6.2643835616438359</c:v>
                </c:pt>
                <c:pt idx="9">
                  <c:v>7.2643835616438359</c:v>
                </c:pt>
              </c:numCache>
            </c:numRef>
          </c:xVal>
          <c:yVal>
            <c:numRef>
              <c:f>'Discount-Factors'!$M$7:$M$16</c:f>
              <c:numCache>
                <c:formatCode>0.00%</c:formatCode>
                <c:ptCount val="10"/>
                <c:pt idx="0">
                  <c:v>1.6299999999999999E-2</c:v>
                </c:pt>
                <c:pt idx="1">
                  <c:v>1.61E-2</c:v>
                </c:pt>
                <c:pt idx="2">
                  <c:v>1.5900000000000001E-2</c:v>
                </c:pt>
                <c:pt idx="3">
                  <c:v>1.5100000000000001E-2</c:v>
                </c:pt>
                <c:pt idx="4">
                  <c:v>1.3485169998452938E-2</c:v>
                </c:pt>
                <c:pt idx="5">
                  <c:v>1.2773678443031043E-2</c:v>
                </c:pt>
                <c:pt idx="6">
                  <c:v>1.2174844399412922E-2</c:v>
                </c:pt>
                <c:pt idx="7">
                  <c:v>1.2050654352857995E-2</c:v>
                </c:pt>
                <c:pt idx="8">
                  <c:v>1.207255156146683E-2</c:v>
                </c:pt>
                <c:pt idx="9">
                  <c:v>1.229057816159782E-2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0-4D3A-9A51-5DC6A82C1172}"/>
            </c:ext>
          </c:extLst>
        </c:ser>
        <c:ser>
          <c:idx val="1"/>
          <c:order val="1"/>
          <c:tx>
            <c:v>Mar Data</c:v>
          </c:tx>
          <c:spPr>
            <a:ln w="19050" cap="rnd">
              <a:solidFill>
                <a:schemeClr val="bg1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triangle"/>
            <c:size val="4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'Discount-Factors'!$D$22:$D$31</c:f>
              <c:numCache>
                <c:formatCode>_-* #,##0.0000_-;\-* #,##0.0000_-;_-* "-"??_-;_-@_-</c:formatCode>
                <c:ptCount val="10"/>
                <c:pt idx="0">
                  <c:v>8.3333333333333329E-2</c:v>
                </c:pt>
                <c:pt idx="1">
                  <c:v>0.25</c:v>
                </c:pt>
                <c:pt idx="2">
                  <c:v>0.5</c:v>
                </c:pt>
                <c:pt idx="3">
                  <c:v>1</c:v>
                </c:pt>
                <c:pt idx="4">
                  <c:v>1.9150684931506849</c:v>
                </c:pt>
                <c:pt idx="5">
                  <c:v>3.4945205479452053</c:v>
                </c:pt>
                <c:pt idx="6">
                  <c:v>4.9945205479452053</c:v>
                </c:pt>
                <c:pt idx="7">
                  <c:v>5.2452054794520544</c:v>
                </c:pt>
                <c:pt idx="8">
                  <c:v>6.2452054794520544</c:v>
                </c:pt>
                <c:pt idx="9">
                  <c:v>7.2452054794520544</c:v>
                </c:pt>
              </c:numCache>
            </c:numRef>
          </c:xVal>
          <c:yVal>
            <c:numRef>
              <c:f>'Discount-Factors'!$M$22:$M$31</c:f>
              <c:numCache>
                <c:formatCode>0.00%</c:formatCode>
                <c:ptCount val="10"/>
                <c:pt idx="0">
                  <c:v>1.34E-2</c:v>
                </c:pt>
                <c:pt idx="1">
                  <c:v>1.24E-2</c:v>
                </c:pt>
                <c:pt idx="2">
                  <c:v>1.23E-2</c:v>
                </c:pt>
                <c:pt idx="3">
                  <c:v>1.175E-2</c:v>
                </c:pt>
                <c:pt idx="4">
                  <c:v>9.7828706040753947E-3</c:v>
                </c:pt>
                <c:pt idx="5">
                  <c:v>9.2767374819117954E-3</c:v>
                </c:pt>
                <c:pt idx="6">
                  <c:v>8.8808206254112707E-3</c:v>
                </c:pt>
                <c:pt idx="7">
                  <c:v>8.8665950239326542E-3</c:v>
                </c:pt>
                <c:pt idx="8">
                  <c:v>8.9854283948909083E-3</c:v>
                </c:pt>
                <c:pt idx="9">
                  <c:v>9.5077503215640086E-3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0-4D3A-9A51-5DC6A82C1172}"/>
            </c:ext>
          </c:extLst>
        </c:ser>
        <c:ser>
          <c:idx val="2"/>
          <c:order val="2"/>
          <c:tx>
            <c:v>Feb Pay Days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noFill/>
              <a:ln w="15875">
                <a:solidFill>
                  <a:schemeClr val="tx1"/>
                </a:solidFill>
              </a:ln>
              <a:effectLst/>
            </c:spPr>
          </c:marker>
          <c:xVal>
            <c:numRef>
              <c:f>'Discount-Factors'!$R$7:$R$22</c:f>
              <c:numCache>
                <c:formatCode>_-* #,##0.0000_-;\-* #,##0.0000_-;_-* "-"??_-;_-@_-</c:formatCode>
                <c:ptCount val="16"/>
                <c:pt idx="0">
                  <c:v>0.4808219178082192</c:v>
                </c:pt>
                <c:pt idx="1">
                  <c:v>0.98082191780821915</c:v>
                </c:pt>
                <c:pt idx="2">
                  <c:v>1.4808219178082191</c:v>
                </c:pt>
                <c:pt idx="3">
                  <c:v>1.978082191780822</c:v>
                </c:pt>
                <c:pt idx="4">
                  <c:v>2.0616438356164384</c:v>
                </c:pt>
                <c:pt idx="5">
                  <c:v>2.4808219178082194</c:v>
                </c:pt>
                <c:pt idx="6">
                  <c:v>2.978082191780822</c:v>
                </c:pt>
                <c:pt idx="7">
                  <c:v>3.4808219178082194</c:v>
                </c:pt>
                <c:pt idx="8">
                  <c:v>3.9753424657534246</c:v>
                </c:pt>
                <c:pt idx="9">
                  <c:v>4.4835616438356167</c:v>
                </c:pt>
                <c:pt idx="10">
                  <c:v>4.9808219178082194</c:v>
                </c:pt>
                <c:pt idx="11">
                  <c:v>5.4808219178082194</c:v>
                </c:pt>
                <c:pt idx="12">
                  <c:v>5.9808219178082194</c:v>
                </c:pt>
                <c:pt idx="13">
                  <c:v>6.4808219178082194</c:v>
                </c:pt>
                <c:pt idx="14">
                  <c:v>6.9808219178082194</c:v>
                </c:pt>
                <c:pt idx="15">
                  <c:v>7</c:v>
                </c:pt>
              </c:numCache>
            </c:numRef>
          </c:xVal>
          <c:yVal>
            <c:numRef>
              <c:f>'Discount-Factors'!$S$7:$S$22</c:f>
              <c:numCache>
                <c:formatCode>0.00%</c:formatCode>
                <c:ptCount val="16"/>
                <c:pt idx="0">
                  <c:v>1.5915342465753424E-2</c:v>
                </c:pt>
                <c:pt idx="1">
                  <c:v>1.5130684931506849E-2</c:v>
                </c:pt>
                <c:pt idx="2">
                  <c:v>1.4268907139966249E-2</c:v>
                </c:pt>
                <c:pt idx="3">
                  <c:v>1.3465440596569489E-2</c:v>
                </c:pt>
                <c:pt idx="4">
                  <c:v>1.3427831424229163E-2</c:v>
                </c:pt>
                <c:pt idx="5">
                  <c:v>1.3239169018718678E-2</c:v>
                </c:pt>
                <c:pt idx="6">
                  <c:v>1.3015363616103299E-2</c:v>
                </c:pt>
                <c:pt idx="7">
                  <c:v>1.2789092038252488E-2</c:v>
                </c:pt>
                <c:pt idx="8">
                  <c:v>1.2589926626907126E-2</c:v>
                </c:pt>
                <c:pt idx="9">
                  <c:v>1.2387033996603635E-2</c:v>
                </c:pt>
                <c:pt idx="10">
                  <c:v>1.2188516409541189E-2</c:v>
                </c:pt>
                <c:pt idx="11">
                  <c:v>1.2055393748693881E-2</c:v>
                </c:pt>
                <c:pt idx="12">
                  <c:v>1.2066342352998298E-2</c:v>
                </c:pt>
                <c:pt idx="13">
                  <c:v>1.2119740880399292E-2</c:v>
                </c:pt>
                <c:pt idx="14">
                  <c:v>1.2228754180464787E-2</c:v>
                </c:pt>
                <c:pt idx="15">
                  <c:v>1.2232935512522093E-2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40-4D3A-9A51-5DC6A82C1172}"/>
            </c:ext>
          </c:extLst>
        </c:ser>
        <c:ser>
          <c:idx val="3"/>
          <c:order val="3"/>
          <c:tx>
            <c:v>Mar Pay Days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noFill/>
              <a:ln w="19050">
                <a:solidFill>
                  <a:schemeClr val="bg1">
                    <a:lumMod val="50000"/>
                  </a:schemeClr>
                </a:solidFill>
              </a:ln>
              <a:effectLst/>
            </c:spPr>
          </c:marker>
          <c:xVal>
            <c:numRef>
              <c:f>'Discount-Factors'!$U$7:$U$22</c:f>
              <c:numCache>
                <c:formatCode>_-* #,##0.0000_-;\-* #,##0.0000_-;_-* "-"??_-;_-@_-</c:formatCode>
                <c:ptCount val="16"/>
                <c:pt idx="0">
                  <c:v>0.46164383561643835</c:v>
                </c:pt>
                <c:pt idx="1">
                  <c:v>0.9616438356164384</c:v>
                </c:pt>
                <c:pt idx="2">
                  <c:v>1.4616438356164383</c:v>
                </c:pt>
                <c:pt idx="3">
                  <c:v>1.9589041095890412</c:v>
                </c:pt>
                <c:pt idx="4">
                  <c:v>2.0424657534246577</c:v>
                </c:pt>
                <c:pt idx="5">
                  <c:v>2.4616438356164383</c:v>
                </c:pt>
                <c:pt idx="6">
                  <c:v>2.9589041095890409</c:v>
                </c:pt>
                <c:pt idx="7">
                  <c:v>3.4616438356164383</c:v>
                </c:pt>
                <c:pt idx="8">
                  <c:v>3.956164383561644</c:v>
                </c:pt>
                <c:pt idx="9">
                  <c:v>4.4643835616438352</c:v>
                </c:pt>
                <c:pt idx="10">
                  <c:v>4.9616438356164387</c:v>
                </c:pt>
                <c:pt idx="11">
                  <c:v>5.4616438356164387</c:v>
                </c:pt>
                <c:pt idx="12">
                  <c:v>5.9616438356164387</c:v>
                </c:pt>
                <c:pt idx="13">
                  <c:v>6.4616438356164387</c:v>
                </c:pt>
                <c:pt idx="14">
                  <c:v>6.9616438356164387</c:v>
                </c:pt>
                <c:pt idx="15">
                  <c:v>6.9808219178082194</c:v>
                </c:pt>
              </c:numCache>
            </c:numRef>
          </c:xVal>
          <c:yVal>
            <c:numRef>
              <c:f>'Discount-Factors'!$V$7:$V$22</c:f>
              <c:numCache>
                <c:formatCode>0.00%</c:formatCode>
                <c:ptCount val="16"/>
                <c:pt idx="0">
                  <c:v>1.2315342465753425E-2</c:v>
                </c:pt>
                <c:pt idx="1">
                  <c:v>1.1792191780821918E-2</c:v>
                </c:pt>
                <c:pt idx="2">
                  <c:v>1.0757600888582946E-2</c:v>
                </c:pt>
                <c:pt idx="3">
                  <c:v>9.76882354431023E-3</c:v>
                </c:pt>
                <c:pt idx="4">
                  <c:v>9.7420463366328838E-3</c:v>
                </c:pt>
                <c:pt idx="5">
                  <c:v>9.6077213276284951E-3</c:v>
                </c:pt>
                <c:pt idx="6">
                  <c:v>9.4483749934174046E-3</c:v>
                </c:pt>
                <c:pt idx="7">
                  <c:v>9.2872727767356698E-3</c:v>
                </c:pt>
                <c:pt idx="8">
                  <c:v>9.1548890977650593E-3</c:v>
                </c:pt>
                <c:pt idx="9">
                  <c:v>9.0207474048320038E-3</c:v>
                </c:pt>
                <c:pt idx="10">
                  <c:v>8.8894982551427897E-3</c:v>
                </c:pt>
                <c:pt idx="11">
                  <c:v>8.8923151234003312E-3</c:v>
                </c:pt>
                <c:pt idx="12">
                  <c:v>8.9517318088794574E-3</c:v>
                </c:pt>
                <c:pt idx="13">
                  <c:v>9.0984788940886487E-3</c:v>
                </c:pt>
                <c:pt idx="14">
                  <c:v>9.359639857425198E-3</c:v>
                </c:pt>
                <c:pt idx="15">
                  <c:v>9.3696569902655038E-3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D40-4D3A-9A51-5DC6A82C1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812304"/>
        <c:axId val="1303704864"/>
      </c:scatterChart>
      <c:valAx>
        <c:axId val="200281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Years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3704864"/>
        <c:crosses val="autoZero"/>
        <c:crossBetween val="midCat"/>
      </c:valAx>
      <c:valAx>
        <c:axId val="1303704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Spot</a:t>
                </a:r>
                <a:r>
                  <a:rPr lang="en-CA" baseline="0"/>
                  <a:t> Rate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81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7716581212232188"/>
          <c:y val="0.76656448375368735"/>
          <c:w val="0.67553668436794234"/>
          <c:h val="6.8807798949232613E-2"/>
        </c:manualLayout>
      </c:layout>
      <c:overlay val="0"/>
      <c:spPr>
        <a:solidFill>
          <a:schemeClr val="bg1"/>
        </a:solidFill>
        <a:ln>
          <a:solidFill>
            <a:schemeClr val="bg1">
              <a:lumMod val="50000"/>
            </a:schemeClr>
          </a:solidFill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'Dividend-Yield'!$A$3:$A$17</c:f>
              <c:numCache>
                <c:formatCode>mmm\-yy</c:formatCode>
                <c:ptCount val="15"/>
                <c:pt idx="0">
                  <c:v>43829</c:v>
                </c:pt>
                <c:pt idx="1">
                  <c:v>43635</c:v>
                </c:pt>
                <c:pt idx="2">
                  <c:v>43462</c:v>
                </c:pt>
                <c:pt idx="3">
                  <c:v>43276</c:v>
                </c:pt>
                <c:pt idx="4">
                  <c:v>43097</c:v>
                </c:pt>
                <c:pt idx="5">
                  <c:v>42909</c:v>
                </c:pt>
                <c:pt idx="6">
                  <c:v>42732</c:v>
                </c:pt>
                <c:pt idx="7">
                  <c:v>42536</c:v>
                </c:pt>
                <c:pt idx="8">
                  <c:v>42367</c:v>
                </c:pt>
                <c:pt idx="9">
                  <c:v>42172</c:v>
                </c:pt>
                <c:pt idx="10">
                  <c:v>42002</c:v>
                </c:pt>
                <c:pt idx="11">
                  <c:v>41808</c:v>
                </c:pt>
                <c:pt idx="12">
                  <c:v>41635</c:v>
                </c:pt>
                <c:pt idx="13">
                  <c:v>41444</c:v>
                </c:pt>
                <c:pt idx="14">
                  <c:v>41267</c:v>
                </c:pt>
              </c:numCache>
            </c:numRef>
          </c:xVal>
          <c:yVal>
            <c:numRef>
              <c:f>'Dividend-Yield'!$D$3:$D$17</c:f>
              <c:numCache>
                <c:formatCode>0.00%</c:formatCode>
                <c:ptCount val="15"/>
                <c:pt idx="0">
                  <c:v>2.0450976671757295E-2</c:v>
                </c:pt>
                <c:pt idx="1">
                  <c:v>1.518385220901612E-2</c:v>
                </c:pt>
                <c:pt idx="2">
                  <c:v>2.0323435101371704E-2</c:v>
                </c:pt>
                <c:pt idx="3">
                  <c:v>1.4502035298753714E-2</c:v>
                </c:pt>
                <c:pt idx="4">
                  <c:v>1.646846922902254E-2</c:v>
                </c:pt>
                <c:pt idx="5">
                  <c:v>1.376291242163109E-2</c:v>
                </c:pt>
                <c:pt idx="6">
                  <c:v>1.7428638040508707E-2</c:v>
                </c:pt>
                <c:pt idx="7">
                  <c:v>1.8137318027795543E-2</c:v>
                </c:pt>
                <c:pt idx="8">
                  <c:v>2.0637613425706521E-2</c:v>
                </c:pt>
                <c:pt idx="9">
                  <c:v>1.5476340813342359E-2</c:v>
                </c:pt>
                <c:pt idx="10">
                  <c:v>1.6051120210319555E-2</c:v>
                </c:pt>
                <c:pt idx="11">
                  <c:v>1.5251004917359643E-2</c:v>
                </c:pt>
                <c:pt idx="12">
                  <c:v>1.7018978604554594E-2</c:v>
                </c:pt>
                <c:pt idx="13">
                  <c:v>1.3518875649571507E-2</c:v>
                </c:pt>
                <c:pt idx="14">
                  <c:v>2.0936263552615613E-2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7C-4788-A109-2284A3B34B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7866336"/>
        <c:axId val="887667248"/>
      </c:scatterChart>
      <c:valAx>
        <c:axId val="87786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7667248"/>
        <c:crosses val="autoZero"/>
        <c:crossBetween val="midCat"/>
      </c:valAx>
      <c:valAx>
        <c:axId val="88766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7866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457200</xdr:colOff>
      <xdr:row>9</xdr:row>
      <xdr:rowOff>66675</xdr:rowOff>
    </xdr:from>
    <xdr:ext cx="4824911" cy="436786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49747623-670A-4D16-AA8F-468E70887DD3}"/>
            </a:ext>
          </a:extLst>
        </xdr:cNvPr>
        <xdr:cNvSpPr txBox="1"/>
      </xdr:nvSpPr>
      <xdr:spPr>
        <a:xfrm>
          <a:off x="3819525" y="1692275"/>
          <a:ext cx="4824911" cy="43678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CA" sz="1100"/>
            <a:t>Closing Bond Prices from:</a:t>
          </a:r>
        </a:p>
        <a:p>
          <a:r>
            <a:rPr lang="en-CA">
              <a:hlinkClick xmlns:r="http://schemas.openxmlformats.org/officeDocument/2006/relationships" r:id=""/>
            </a:rPr>
            <a:t>https://www.marketwatch.com/investing/bond/tmbmbca-06m?countrycode=bx</a:t>
          </a:r>
          <a:endParaRPr lang="en-CA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419100</xdr:colOff>
      <xdr:row>21</xdr:row>
      <xdr:rowOff>133349</xdr:rowOff>
    </xdr:from>
    <xdr:to>
      <xdr:col>24</xdr:col>
      <xdr:colOff>400050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7C9AB7E-20D0-4504-A263-959BF2B12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168275</xdr:colOff>
      <xdr:row>0</xdr:row>
      <xdr:rowOff>96837</xdr:rowOff>
    </xdr:from>
    <xdr:to>
      <xdr:col>11</xdr:col>
      <xdr:colOff>320675</xdr:colOff>
      <xdr:row>17</xdr:row>
      <xdr:rowOff>74612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EE43A3A-F066-4F67-8EC2-020C2FB59D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niel/GoogleDrive/mba/FINE6800/fine-6800-pricing/fnen6800-pricing-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discount-factors"/>
      <sheetName val="Dividend-Yield"/>
      <sheetName val="Implied-Volatility"/>
    </sheetNames>
    <sheetDataSet>
      <sheetData sheetId="0" refreshError="1"/>
      <sheetData sheetId="1">
        <row r="7">
          <cell r="D7">
            <v>8.3333333333333329E-2</v>
          </cell>
          <cell r="M7">
            <v>1.6299999999999999E-2</v>
          </cell>
          <cell r="R7">
            <v>0.4808219178082192</v>
          </cell>
          <cell r="S7" t="e">
            <v>#NAME?</v>
          </cell>
          <cell r="U7">
            <v>0.46164383561643835</v>
          </cell>
          <cell r="V7" t="e">
            <v>#NAME?</v>
          </cell>
        </row>
        <row r="8">
          <cell r="D8">
            <v>0.25</v>
          </cell>
          <cell r="M8">
            <v>1.61E-2</v>
          </cell>
          <cell r="R8">
            <v>0.98082191780821915</v>
          </cell>
          <cell r="S8" t="e">
            <v>#NAME?</v>
          </cell>
          <cell r="U8">
            <v>0.9616438356164384</v>
          </cell>
          <cell r="V8" t="e">
            <v>#NAME?</v>
          </cell>
        </row>
        <row r="9">
          <cell r="D9">
            <v>0.5</v>
          </cell>
          <cell r="M9">
            <v>1.5900000000000001E-2</v>
          </cell>
          <cell r="R9">
            <v>1.4808219178082191</v>
          </cell>
          <cell r="S9" t="e">
            <v>#NAME?</v>
          </cell>
          <cell r="U9">
            <v>1.4616438356164383</v>
          </cell>
          <cell r="V9" t="e">
            <v>#NAME?</v>
          </cell>
        </row>
        <row r="10">
          <cell r="D10">
            <v>1</v>
          </cell>
          <cell r="M10">
            <v>1.5100000000000001E-2</v>
          </cell>
          <cell r="R10">
            <v>1.978082191780822</v>
          </cell>
          <cell r="S10" t="e">
            <v>#NAME?</v>
          </cell>
          <cell r="U10">
            <v>1.9589041095890412</v>
          </cell>
          <cell r="V10" t="e">
            <v>#NAME?</v>
          </cell>
        </row>
        <row r="11">
          <cell r="D11">
            <v>1.9342465753424658</v>
          </cell>
          <cell r="M11">
            <v>1.3485169998452938E-2</v>
          </cell>
          <cell r="R11">
            <v>2.4808219178082194</v>
          </cell>
          <cell r="S11" t="e">
            <v>#NAME?</v>
          </cell>
          <cell r="U11">
            <v>2.4616438356164383</v>
          </cell>
          <cell r="V11" t="e">
            <v>#NAME?</v>
          </cell>
        </row>
        <row r="12">
          <cell r="D12">
            <v>3.515068493150685</v>
          </cell>
          <cell r="M12">
            <v>1.2773678443031043E-2</v>
          </cell>
          <cell r="R12">
            <v>2.978082191780822</v>
          </cell>
          <cell r="S12" t="e">
            <v>#NAME?</v>
          </cell>
          <cell r="U12">
            <v>2.9589041095890409</v>
          </cell>
          <cell r="V12" t="e">
            <v>#NAME?</v>
          </cell>
        </row>
        <row r="13">
          <cell r="D13">
            <v>5.015068493150685</v>
          </cell>
          <cell r="M13">
            <v>1.2174844399412922E-2</v>
          </cell>
          <cell r="R13">
            <v>3.4808219178082194</v>
          </cell>
          <cell r="S13" t="e">
            <v>#NAME?</v>
          </cell>
          <cell r="U13">
            <v>3.4616438356164383</v>
          </cell>
          <cell r="V13" t="e">
            <v>#NAME?</v>
          </cell>
        </row>
        <row r="14">
          <cell r="D14">
            <v>5.2643835616438359</v>
          </cell>
          <cell r="M14">
            <v>1.2050654352857995E-2</v>
          </cell>
          <cell r="R14">
            <v>3.9753424657534246</v>
          </cell>
          <cell r="S14" t="e">
            <v>#NAME?</v>
          </cell>
          <cell r="U14">
            <v>3.956164383561644</v>
          </cell>
          <cell r="V14" t="e">
            <v>#NAME?</v>
          </cell>
        </row>
        <row r="15">
          <cell r="D15">
            <v>6.2643835616438359</v>
          </cell>
          <cell r="M15">
            <v>1.207255156146683E-2</v>
          </cell>
          <cell r="R15">
            <v>4.4835616438356167</v>
          </cell>
          <cell r="S15" t="e">
            <v>#NAME?</v>
          </cell>
          <cell r="U15">
            <v>4.4643835616438352</v>
          </cell>
          <cell r="V15" t="e">
            <v>#NAME?</v>
          </cell>
        </row>
        <row r="16">
          <cell r="D16">
            <v>7.2643835616438359</v>
          </cell>
          <cell r="M16">
            <v>1.229057816159782E-2</v>
          </cell>
          <cell r="R16">
            <v>4.9808219178082194</v>
          </cell>
          <cell r="S16" t="e">
            <v>#NAME?</v>
          </cell>
          <cell r="U16">
            <v>4.9616438356164387</v>
          </cell>
          <cell r="V16" t="e">
            <v>#NAME?</v>
          </cell>
        </row>
        <row r="17">
          <cell r="R17">
            <v>5.4808219178082194</v>
          </cell>
          <cell r="S17" t="e">
            <v>#NAME?</v>
          </cell>
          <cell r="U17">
            <v>5.4616438356164387</v>
          </cell>
          <cell r="V17" t="e">
            <v>#NAME?</v>
          </cell>
        </row>
        <row r="18">
          <cell r="R18">
            <v>5.9808219178082194</v>
          </cell>
          <cell r="S18" t="e">
            <v>#NAME?</v>
          </cell>
          <cell r="U18">
            <v>5.9616438356164387</v>
          </cell>
          <cell r="V18" t="e">
            <v>#NAME?</v>
          </cell>
        </row>
        <row r="19">
          <cell r="R19">
            <v>6.4808219178082194</v>
          </cell>
          <cell r="S19" t="e">
            <v>#NAME?</v>
          </cell>
          <cell r="U19">
            <v>6.4616438356164387</v>
          </cell>
          <cell r="V19" t="e">
            <v>#NAME?</v>
          </cell>
        </row>
        <row r="20">
          <cell r="R20">
            <v>6.9808219178082194</v>
          </cell>
          <cell r="S20" t="e">
            <v>#NAME?</v>
          </cell>
          <cell r="U20">
            <v>6.9616438356164387</v>
          </cell>
          <cell r="V20" t="e">
            <v>#NAME?</v>
          </cell>
        </row>
        <row r="21">
          <cell r="R21">
            <v>7</v>
          </cell>
          <cell r="S21" t="e">
            <v>#NAME?</v>
          </cell>
          <cell r="U21">
            <v>6.9808219178082194</v>
          </cell>
          <cell r="V21" t="e">
            <v>#NAME?</v>
          </cell>
        </row>
        <row r="22">
          <cell r="D22">
            <v>8.3333333333333329E-2</v>
          </cell>
          <cell r="M22">
            <v>1.34E-2</v>
          </cell>
        </row>
        <row r="23">
          <cell r="D23">
            <v>0.25</v>
          </cell>
          <cell r="M23">
            <v>1.24E-2</v>
          </cell>
        </row>
        <row r="24">
          <cell r="D24">
            <v>0.5</v>
          </cell>
          <cell r="M24">
            <v>1.23E-2</v>
          </cell>
        </row>
        <row r="25">
          <cell r="D25">
            <v>1</v>
          </cell>
          <cell r="M25">
            <v>1.175E-2</v>
          </cell>
        </row>
        <row r="26">
          <cell r="D26">
            <v>1.9150684931506849</v>
          </cell>
          <cell r="M26">
            <v>9.7828706040753947E-3</v>
          </cell>
        </row>
        <row r="27">
          <cell r="D27">
            <v>3.4945205479452053</v>
          </cell>
          <cell r="M27">
            <v>9.2767374819117954E-3</v>
          </cell>
        </row>
        <row r="28">
          <cell r="D28">
            <v>4.9945205479452053</v>
          </cell>
          <cell r="M28">
            <v>8.8808206254112707E-3</v>
          </cell>
        </row>
        <row r="29">
          <cell r="D29">
            <v>5.2452054794520544</v>
          </cell>
          <cell r="M29">
            <v>8.8665950239326542E-3</v>
          </cell>
        </row>
        <row r="30">
          <cell r="D30">
            <v>6.2452054794520544</v>
          </cell>
          <cell r="M30">
            <v>8.9854283948909083E-3</v>
          </cell>
        </row>
        <row r="31">
          <cell r="D31">
            <v>7.2452054794520544</v>
          </cell>
          <cell r="M31">
            <v>9.5077503215640086E-3</v>
          </cell>
        </row>
      </sheetData>
      <sheetData sheetId="2">
        <row r="3">
          <cell r="A3">
            <v>43829</v>
          </cell>
          <cell r="D3">
            <v>2.0450976671757295E-2</v>
          </cell>
        </row>
        <row r="4">
          <cell r="A4">
            <v>43635</v>
          </cell>
          <cell r="D4">
            <v>1.518385220901612E-2</v>
          </cell>
        </row>
        <row r="5">
          <cell r="A5">
            <v>43462</v>
          </cell>
          <cell r="D5">
            <v>2.0323435101371704E-2</v>
          </cell>
        </row>
        <row r="6">
          <cell r="A6">
            <v>43276</v>
          </cell>
          <cell r="D6">
            <v>1.4502035298753714E-2</v>
          </cell>
        </row>
        <row r="7">
          <cell r="A7">
            <v>43097</v>
          </cell>
          <cell r="D7">
            <v>1.646846922902254E-2</v>
          </cell>
        </row>
        <row r="8">
          <cell r="A8">
            <v>42909</v>
          </cell>
          <cell r="D8">
            <v>1.376291242163109E-2</v>
          </cell>
        </row>
        <row r="9">
          <cell r="A9">
            <v>42732</v>
          </cell>
          <cell r="D9">
            <v>1.7428638040508707E-2</v>
          </cell>
        </row>
        <row r="10">
          <cell r="A10">
            <v>42536</v>
          </cell>
          <cell r="D10">
            <v>1.8137318027795543E-2</v>
          </cell>
        </row>
        <row r="11">
          <cell r="A11">
            <v>42367</v>
          </cell>
          <cell r="D11">
            <v>2.0637613425706521E-2</v>
          </cell>
        </row>
        <row r="12">
          <cell r="A12">
            <v>42172</v>
          </cell>
          <cell r="D12">
            <v>1.5476340813342359E-2</v>
          </cell>
        </row>
        <row r="13">
          <cell r="A13">
            <v>42002</v>
          </cell>
          <cell r="D13">
            <v>1.6051120210319555E-2</v>
          </cell>
        </row>
        <row r="14">
          <cell r="A14">
            <v>41808</v>
          </cell>
          <cell r="D14">
            <v>1.5251004917359643E-2</v>
          </cell>
        </row>
        <row r="15">
          <cell r="A15">
            <v>41635</v>
          </cell>
          <cell r="D15">
            <v>1.7018978604554594E-2</v>
          </cell>
        </row>
        <row r="16">
          <cell r="A16">
            <v>41444</v>
          </cell>
          <cell r="D16">
            <v>1.3518875649571507E-2</v>
          </cell>
        </row>
        <row r="17">
          <cell r="A17">
            <v>41267</v>
          </cell>
          <cell r="D17">
            <v>2.0936263552615613E-2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blackrock.com/ca/individual/en/products/239727/ishares-sp-500-index-etf-cadhedged-fund?switchLocale=y&amp;siteEntryPassthrough=true" TargetMode="External"/><Relationship Id="rId2" Type="http://schemas.openxmlformats.org/officeDocument/2006/relationships/hyperlink" Target="http://www.dividendchannel.com/symbol/xsp.ca/" TargetMode="External"/><Relationship Id="rId1" Type="http://schemas.openxmlformats.org/officeDocument/2006/relationships/hyperlink" Target="https://www.barchart.com/stocks/quotes/XSP.TO/profile" TargetMode="External"/><Relationship Id="rId4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57CDFF-DB49-47AD-887E-942720CD2D7A}">
  <sheetPr codeName="Sheet1"/>
  <dimension ref="A1:E24"/>
  <sheetViews>
    <sheetView workbookViewId="0">
      <selection activeCell="D30" sqref="D30"/>
    </sheetView>
  </sheetViews>
  <sheetFormatPr defaultRowHeight="14.5" x14ac:dyDescent="0.35"/>
  <cols>
    <col min="1" max="1" width="14.81640625" style="166" bestFit="1" customWidth="1"/>
    <col min="2" max="2" width="7.81640625" style="166" bestFit="1" customWidth="1"/>
    <col min="3" max="3" width="7.08984375" style="166" bestFit="1" customWidth="1"/>
    <col min="4" max="4" width="8.7265625" style="166"/>
    <col min="5" max="5" width="9.6328125" style="168" bestFit="1" customWidth="1"/>
    <col min="6" max="16384" width="8.7265625" style="166"/>
  </cols>
  <sheetData>
    <row r="1" spans="1:5" x14ac:dyDescent="0.35">
      <c r="A1" s="166" t="s">
        <v>61</v>
      </c>
      <c r="B1" s="167">
        <v>43886</v>
      </c>
      <c r="C1" s="167">
        <v>43893</v>
      </c>
    </row>
    <row r="2" spans="1:5" x14ac:dyDescent="0.35">
      <c r="A2" s="166" t="s">
        <v>62</v>
      </c>
    </row>
    <row r="3" spans="1:5" x14ac:dyDescent="0.35">
      <c r="A3" s="166" t="s">
        <v>63</v>
      </c>
      <c r="B3" s="166">
        <v>1.63</v>
      </c>
      <c r="C3" s="166">
        <v>1.34</v>
      </c>
    </row>
    <row r="4" spans="1:5" x14ac:dyDescent="0.35">
      <c r="A4" s="166" t="s">
        <v>64</v>
      </c>
      <c r="B4" s="166">
        <v>1.61</v>
      </c>
      <c r="C4" s="166">
        <v>1.26</v>
      </c>
    </row>
    <row r="5" spans="1:5" x14ac:dyDescent="0.35">
      <c r="A5" s="166" t="s">
        <v>65</v>
      </c>
      <c r="B5" s="166">
        <v>1.59</v>
      </c>
      <c r="C5" s="166">
        <v>1.23</v>
      </c>
    </row>
    <row r="6" spans="1:5" x14ac:dyDescent="0.35">
      <c r="A6" s="166" t="s">
        <v>66</v>
      </c>
      <c r="B6" s="166">
        <v>1.51</v>
      </c>
      <c r="C6" s="166">
        <v>1.17</v>
      </c>
    </row>
    <row r="9" spans="1:5" x14ac:dyDescent="0.35">
      <c r="B9" s="169" t="s">
        <v>24</v>
      </c>
      <c r="C9" s="169"/>
    </row>
    <row r="10" spans="1:5" x14ac:dyDescent="0.35">
      <c r="B10" s="167">
        <v>43886</v>
      </c>
      <c r="C10" s="167">
        <v>43893</v>
      </c>
      <c r="D10" s="166" t="s">
        <v>16</v>
      </c>
      <c r="E10" s="168" t="s">
        <v>13</v>
      </c>
    </row>
    <row r="11" spans="1:5" x14ac:dyDescent="0.35">
      <c r="A11" s="166" t="s">
        <v>63</v>
      </c>
    </row>
    <row r="12" spans="1:5" x14ac:dyDescent="0.35">
      <c r="A12" s="166" t="s">
        <v>35</v>
      </c>
      <c r="B12" s="170">
        <v>1.61E-2</v>
      </c>
      <c r="C12" s="171">
        <f>AVERAGE(1.35,1.13)/100</f>
        <v>1.24E-2</v>
      </c>
      <c r="D12" s="170">
        <v>0</v>
      </c>
      <c r="E12" s="168" t="s">
        <v>67</v>
      </c>
    </row>
    <row r="13" spans="1:5" x14ac:dyDescent="0.35">
      <c r="A13" s="166" t="s">
        <v>36</v>
      </c>
      <c r="B13" s="170">
        <v>1.5900000000000001E-2</v>
      </c>
      <c r="C13" s="171">
        <f>AVERAGE(1.35, 1.11)/100</f>
        <v>1.23E-2</v>
      </c>
      <c r="D13" s="170">
        <v>0</v>
      </c>
      <c r="E13" s="168" t="s">
        <v>67</v>
      </c>
    </row>
    <row r="14" spans="1:5" x14ac:dyDescent="0.35">
      <c r="A14" s="166" t="s">
        <v>37</v>
      </c>
      <c r="B14" s="170">
        <v>1.5100000000000001E-2</v>
      </c>
      <c r="C14" s="171">
        <f>AVERAGE(1.32, 1.03)/100</f>
        <v>1.175E-2</v>
      </c>
      <c r="D14" s="170">
        <v>0</v>
      </c>
      <c r="E14" s="168" t="s">
        <v>67</v>
      </c>
    </row>
    <row r="15" spans="1:5" x14ac:dyDescent="0.35">
      <c r="A15" s="166" t="s">
        <v>38</v>
      </c>
      <c r="B15" s="170">
        <v>1.35E-2</v>
      </c>
      <c r="C15" s="170">
        <v>9.7999999999999997E-3</v>
      </c>
      <c r="D15" s="170">
        <v>1.4999999999999999E-2</v>
      </c>
      <c r="E15" s="168">
        <v>44593</v>
      </c>
    </row>
    <row r="16" spans="1:5" x14ac:dyDescent="0.35">
      <c r="A16" s="166" t="s">
        <v>39</v>
      </c>
      <c r="B16" s="170">
        <v>1.2800000000000001E-2</v>
      </c>
      <c r="C16" s="170">
        <v>9.2999999999999992E-3</v>
      </c>
      <c r="D16" s="170">
        <v>0.02</v>
      </c>
      <c r="E16" s="168">
        <v>45170</v>
      </c>
    </row>
    <row r="17" spans="1:5" x14ac:dyDescent="0.35">
      <c r="A17" s="166" t="s">
        <v>40</v>
      </c>
      <c r="B17" s="170">
        <v>1.2200000000000001E-2</v>
      </c>
      <c r="C17" s="170">
        <v>8.8999999999999999E-3</v>
      </c>
      <c r="D17" s="170">
        <v>1.2500000000000001E-2</v>
      </c>
      <c r="E17" s="168">
        <v>45717</v>
      </c>
    </row>
    <row r="18" spans="1:5" x14ac:dyDescent="0.35">
      <c r="A18" s="166" t="s">
        <v>41</v>
      </c>
      <c r="B18" s="170">
        <v>1.21E-2</v>
      </c>
      <c r="C18" s="170">
        <v>8.8999999999999999E-3</v>
      </c>
      <c r="D18" s="170">
        <v>2.2499999999999999E-2</v>
      </c>
      <c r="E18" s="168">
        <v>45809</v>
      </c>
    </row>
    <row r="19" spans="1:5" x14ac:dyDescent="0.35">
      <c r="A19" s="166" t="s">
        <v>42</v>
      </c>
      <c r="B19" s="170">
        <v>1.21E-2</v>
      </c>
      <c r="C19" s="170">
        <v>8.9999999999999993E-3</v>
      </c>
      <c r="D19" s="170">
        <v>1.4999999999999999E-2</v>
      </c>
      <c r="E19" s="168">
        <v>46174</v>
      </c>
    </row>
    <row r="20" spans="1:5" x14ac:dyDescent="0.35">
      <c r="A20" s="166" t="s">
        <v>43</v>
      </c>
      <c r="B20" s="170">
        <v>1.23E-2</v>
      </c>
      <c r="C20" s="170">
        <v>9.4999999999999998E-3</v>
      </c>
      <c r="D20" s="170">
        <v>0.01</v>
      </c>
      <c r="E20" s="168">
        <v>46539</v>
      </c>
    </row>
    <row r="21" spans="1:5" x14ac:dyDescent="0.35">
      <c r="B21" s="170"/>
      <c r="C21" s="170"/>
      <c r="D21" s="170"/>
    </row>
    <row r="22" spans="1:5" x14ac:dyDescent="0.35">
      <c r="B22" s="170"/>
      <c r="C22" s="170"/>
      <c r="D22" s="170"/>
    </row>
    <row r="23" spans="1:5" x14ac:dyDescent="0.35">
      <c r="B23" s="170"/>
      <c r="C23" s="170"/>
      <c r="D23" s="170"/>
    </row>
    <row r="24" spans="1:5" x14ac:dyDescent="0.35">
      <c r="B24" s="170"/>
      <c r="C24" s="170"/>
      <c r="D24" s="170"/>
    </row>
  </sheetData>
  <mergeCells count="1">
    <mergeCell ref="B9:C9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909888-02D7-4408-B1C1-8BE852EADE71}">
  <sheetPr codeName="Sheet3"/>
  <dimension ref="A1:AF68"/>
  <sheetViews>
    <sheetView showGridLines="0" zoomScaleNormal="100" workbookViewId="0">
      <selection activeCell="D12" sqref="D12"/>
    </sheetView>
  </sheetViews>
  <sheetFormatPr defaultRowHeight="14.5" x14ac:dyDescent="0.35"/>
  <cols>
    <col min="1" max="1" width="14.54296875" style="12" bestFit="1" customWidth="1"/>
    <col min="2" max="2" width="8.6328125" style="12" bestFit="1" customWidth="1"/>
    <col min="3" max="3" width="9.36328125" style="12" bestFit="1" customWidth="1"/>
    <col min="4" max="4" width="9.453125" style="12" bestFit="1" customWidth="1"/>
    <col min="5" max="5" width="7.453125" style="12" bestFit="1" customWidth="1"/>
    <col min="6" max="6" width="8" style="12" bestFit="1" customWidth="1"/>
    <col min="7" max="8" width="7.54296875" style="12" bestFit="1" customWidth="1"/>
    <col min="9" max="9" width="7.81640625" style="12" bestFit="1" customWidth="1"/>
    <col min="10" max="11" width="9.08984375" style="12" bestFit="1" customWidth="1"/>
    <col min="12" max="12" width="8.26953125" style="12" bestFit="1" customWidth="1"/>
    <col min="13" max="13" width="5.81640625" style="79" bestFit="1" customWidth="1"/>
    <col min="14" max="14" width="9.6328125" style="10" bestFit="1" customWidth="1"/>
    <col min="15" max="15" width="8.1796875" style="11" bestFit="1" customWidth="1"/>
    <col min="16" max="16" width="9.81640625" style="11" customWidth="1"/>
    <col min="17" max="17" width="10.36328125" style="12" bestFit="1" customWidth="1"/>
    <col min="18" max="19" width="10.6328125" style="12" customWidth="1"/>
    <col min="20" max="28" width="9.08984375" style="12" customWidth="1"/>
    <col min="29" max="29" width="8.36328125" style="12" bestFit="1" customWidth="1"/>
    <col min="30" max="30" width="9" style="12" customWidth="1"/>
    <col min="31" max="31" width="8.36328125" style="12" bestFit="1" customWidth="1"/>
    <col min="32" max="34" width="8.81640625" style="12" bestFit="1" customWidth="1"/>
    <col min="35" max="16384" width="8.7265625" style="12"/>
  </cols>
  <sheetData>
    <row r="1" spans="1:28" ht="14.5" customHeight="1" x14ac:dyDescent="0.35">
      <c r="A1" s="4" t="s">
        <v>2</v>
      </c>
      <c r="B1" s="4">
        <v>3</v>
      </c>
      <c r="C1" s="5" t="s">
        <v>3</v>
      </c>
      <c r="D1" s="5"/>
      <c r="E1" s="6"/>
      <c r="F1" s="7"/>
      <c r="G1" s="7"/>
      <c r="H1" s="7"/>
      <c r="I1" s="7"/>
      <c r="J1" s="8"/>
      <c r="K1" s="8"/>
      <c r="L1" s="8"/>
      <c r="M1" s="9"/>
    </row>
    <row r="2" spans="1:28" ht="14.5" customHeight="1" x14ac:dyDescent="0.35">
      <c r="A2" s="4" t="s">
        <v>4</v>
      </c>
      <c r="B2" s="13">
        <v>100</v>
      </c>
      <c r="C2" s="4"/>
      <c r="I2" s="7"/>
      <c r="J2" s="8"/>
      <c r="K2" s="8"/>
      <c r="L2" s="8">
        <f>Bond_ZeroRates(B2,D11,B11,B3,D7:D16,M7:M16)</f>
        <v>100.38372314361824</v>
      </c>
      <c r="M2" s="9"/>
    </row>
    <row r="3" spans="1:28" ht="15" customHeight="1" thickBot="1" x14ac:dyDescent="0.4">
      <c r="A3" s="14" t="s">
        <v>5</v>
      </c>
      <c r="B3" s="4">
        <v>2</v>
      </c>
      <c r="E3" s="15" t="s">
        <v>6</v>
      </c>
      <c r="F3" s="15"/>
      <c r="G3" s="16">
        <v>43886</v>
      </c>
      <c r="H3" s="16"/>
      <c r="I3" s="17"/>
      <c r="J3" s="8"/>
      <c r="K3" s="8"/>
      <c r="L3" s="8"/>
      <c r="M3" s="9"/>
      <c r="Z3" s="18" t="s">
        <v>7</v>
      </c>
      <c r="AA3" s="18"/>
    </row>
    <row r="4" spans="1:28" ht="15" customHeight="1" x14ac:dyDescent="0.35">
      <c r="A4" s="19"/>
      <c r="B4" s="19"/>
      <c r="C4" s="20"/>
      <c r="D4" s="20"/>
      <c r="E4" s="21"/>
      <c r="F4" s="22"/>
      <c r="G4" s="23" t="s">
        <v>8</v>
      </c>
      <c r="H4" s="23"/>
      <c r="I4" s="24"/>
      <c r="J4" s="25" t="s">
        <v>9</v>
      </c>
      <c r="K4" s="25" t="s">
        <v>10</v>
      </c>
      <c r="L4" s="25" t="s">
        <v>11</v>
      </c>
      <c r="M4" s="26" t="s">
        <v>12</v>
      </c>
      <c r="N4" s="27"/>
      <c r="Q4" s="20"/>
      <c r="R4" s="28">
        <v>43886</v>
      </c>
      <c r="S4" s="29"/>
      <c r="T4" s="30"/>
      <c r="U4" s="29">
        <v>43893</v>
      </c>
      <c r="V4" s="29"/>
      <c r="W4" s="29"/>
    </row>
    <row r="5" spans="1:28" ht="15" customHeight="1" x14ac:dyDescent="0.35">
      <c r="A5" s="4"/>
      <c r="B5" s="4"/>
      <c r="C5" s="31" t="s">
        <v>13</v>
      </c>
      <c r="D5" s="31" t="s">
        <v>13</v>
      </c>
      <c r="E5" s="32" t="s">
        <v>14</v>
      </c>
      <c r="F5" s="33"/>
      <c r="G5" s="34" t="s">
        <v>15</v>
      </c>
      <c r="H5" s="34" t="s">
        <v>16</v>
      </c>
      <c r="I5" s="35" t="s">
        <v>17</v>
      </c>
      <c r="J5" s="36" t="s">
        <v>11</v>
      </c>
      <c r="K5" s="36" t="s">
        <v>11</v>
      </c>
      <c r="L5" s="36" t="s">
        <v>1</v>
      </c>
      <c r="M5" s="37" t="s">
        <v>18</v>
      </c>
      <c r="N5" s="38" t="s">
        <v>19</v>
      </c>
      <c r="R5" s="39" t="s">
        <v>20</v>
      </c>
      <c r="S5" s="31" t="s">
        <v>18</v>
      </c>
      <c r="T5" s="40" t="s">
        <v>19</v>
      </c>
      <c r="U5" s="31" t="s">
        <v>20</v>
      </c>
      <c r="V5" s="31" t="s">
        <v>18</v>
      </c>
      <c r="W5" s="31" t="s">
        <v>19</v>
      </c>
    </row>
    <row r="6" spans="1:28" ht="17" thickBot="1" x14ac:dyDescent="0.4">
      <c r="A6" s="41" t="s">
        <v>21</v>
      </c>
      <c r="B6" s="42" t="s">
        <v>16</v>
      </c>
      <c r="C6" s="43" t="s">
        <v>22</v>
      </c>
      <c r="D6" s="43" t="s">
        <v>23</v>
      </c>
      <c r="E6" s="44" t="s">
        <v>24</v>
      </c>
      <c r="F6" s="45" t="s">
        <v>11</v>
      </c>
      <c r="G6" s="43" t="s">
        <v>16</v>
      </c>
      <c r="H6" s="43" t="s">
        <v>25</v>
      </c>
      <c r="I6" s="43" t="s">
        <v>26</v>
      </c>
      <c r="J6" s="43" t="s">
        <v>27</v>
      </c>
      <c r="K6" s="43" t="s">
        <v>28</v>
      </c>
      <c r="L6" s="43" t="s">
        <v>29</v>
      </c>
      <c r="M6" s="46" t="s">
        <v>30</v>
      </c>
      <c r="N6" s="47" t="s">
        <v>31</v>
      </c>
      <c r="O6" s="12"/>
      <c r="Q6" s="48" t="s">
        <v>32</v>
      </c>
      <c r="R6" s="49" t="s">
        <v>33</v>
      </c>
      <c r="S6" s="50" t="s">
        <v>30</v>
      </c>
      <c r="T6" s="51" t="s">
        <v>31</v>
      </c>
      <c r="U6" s="50" t="s">
        <v>33</v>
      </c>
      <c r="V6" s="50" t="s">
        <v>30</v>
      </c>
      <c r="W6" s="50" t="s">
        <v>31</v>
      </c>
      <c r="X6" s="11"/>
      <c r="Y6" s="11"/>
      <c r="Z6" s="11"/>
      <c r="AA6" s="11"/>
      <c r="AB6" s="11"/>
    </row>
    <row r="7" spans="1:28" ht="16.5" x14ac:dyDescent="0.35">
      <c r="A7" s="20" t="s">
        <v>34</v>
      </c>
      <c r="B7" s="52"/>
      <c r="C7" s="53"/>
      <c r="D7" s="54">
        <f>1/12</f>
        <v>8.3333333333333329E-2</v>
      </c>
      <c r="E7" s="55">
        <v>1.6299999999999999E-2</v>
      </c>
      <c r="F7" s="56"/>
      <c r="G7" s="57"/>
      <c r="H7" s="57"/>
      <c r="I7" s="58"/>
      <c r="J7" s="59"/>
      <c r="K7" s="60"/>
      <c r="L7" s="61"/>
      <c r="M7" s="62">
        <f>E7</f>
        <v>1.6299999999999999E-2</v>
      </c>
      <c r="N7" s="63">
        <f t="shared" ref="N7:N16" si="0">(1+0.5*M7)^(-2*D7)</f>
        <v>0.99864808664232507</v>
      </c>
      <c r="O7" s="12"/>
      <c r="Q7" s="64">
        <v>44061</v>
      </c>
      <c r="R7" s="65">
        <f t="shared" ref="R7:R22" si="1">(COUPNUM($R$4,Q7,$B$3,$B$1)-COUPDAYBS($R$4,Q7,$B$3,$B$1)/COUPDAYS($R$4,Q7,$B$3,$B$1))/$B$3</f>
        <v>0.4808219178082192</v>
      </c>
      <c r="S7" s="66">
        <f>PWLinear(R7,$D$7:$D$16,$M$7:$M$16)</f>
        <v>1.5915342465753424E-2</v>
      </c>
      <c r="T7" s="67">
        <f>PWLinear(R7,$D$7:$D$16,$N$7:$N$16)</f>
        <v>0.99241084148688763</v>
      </c>
      <c r="U7" s="27">
        <f t="shared" ref="U7:U22" si="2">(COUPNUM($U$4,Q7,$B$3,$B$1)-COUPDAYBS($U$4,Q7,$B$3,$B$1)/COUPDAYS($U$4,Q7,$B$3,$B$1))/$B$3</f>
        <v>0.46164383561643835</v>
      </c>
      <c r="V7" s="66">
        <f>PWLinear(U7,$D$22:$D$31,$M$22:$M$31)</f>
        <v>1.2315342465753425E-2</v>
      </c>
      <c r="W7" s="68">
        <f>PWLinear(U7,$D$22:$D$31,$N$22:$N$31)</f>
        <v>0.99435196933591297</v>
      </c>
      <c r="X7" s="11"/>
      <c r="Y7" s="11"/>
      <c r="Z7" s="11"/>
      <c r="AA7" s="11"/>
      <c r="AB7" s="11"/>
    </row>
    <row r="8" spans="1:28" x14ac:dyDescent="0.35">
      <c r="A8" s="12" t="s">
        <v>35</v>
      </c>
      <c r="B8" s="69"/>
      <c r="C8" s="70"/>
      <c r="D8" s="71">
        <f>3/12</f>
        <v>0.25</v>
      </c>
      <c r="E8" s="72">
        <v>1.61E-2</v>
      </c>
      <c r="F8" s="73"/>
      <c r="G8" s="74"/>
      <c r="H8" s="74"/>
      <c r="I8" s="75"/>
      <c r="J8" s="76"/>
      <c r="K8" s="77"/>
      <c r="L8" s="78"/>
      <c r="M8" s="79">
        <f>E8</f>
        <v>1.61E-2</v>
      </c>
      <c r="N8" s="10">
        <f t="shared" si="0"/>
        <v>0.99599913905871629</v>
      </c>
      <c r="O8" s="12"/>
      <c r="Q8" s="80">
        <v>44245</v>
      </c>
      <c r="R8" s="81">
        <f t="shared" si="1"/>
        <v>0.98082191780821915</v>
      </c>
      <c r="S8" s="82">
        <f t="shared" ref="S8:S22" si="3">PWLinear(R8,$D$7:$D$16,$M$7:$M$16)</f>
        <v>1.5130684931506849E-2</v>
      </c>
      <c r="T8" s="40">
        <f t="shared" ref="T8:T22" si="4">PWLinear(R8,$D$7:$D$16,$N$7:$N$16)</f>
        <v>0.98533946000527606</v>
      </c>
      <c r="U8" s="38">
        <f t="shared" si="2"/>
        <v>0.9616438356164384</v>
      </c>
      <c r="V8" s="82">
        <f t="shared" ref="V8:V22" si="5">PWLinear(U8,$D$22:$D$31,$M$22:$M$31)</f>
        <v>1.1792191780821918E-2</v>
      </c>
      <c r="W8" s="31">
        <f t="shared" ref="W8:W22" si="6">PWLinear(U8,$D$22:$D$31,$N$22:$N$31)</f>
        <v>0.98877733287805802</v>
      </c>
      <c r="X8" s="11"/>
      <c r="Y8" s="11"/>
      <c r="Z8" s="11"/>
      <c r="AA8" s="11"/>
      <c r="AB8" s="11"/>
    </row>
    <row r="9" spans="1:28" x14ac:dyDescent="0.35">
      <c r="A9" s="12" t="s">
        <v>36</v>
      </c>
      <c r="B9" s="69"/>
      <c r="C9" s="70"/>
      <c r="D9" s="71">
        <f>0.5</f>
        <v>0.5</v>
      </c>
      <c r="E9" s="72">
        <v>1.5900000000000001E-2</v>
      </c>
      <c r="F9" s="73"/>
      <c r="G9" s="74"/>
      <c r="H9" s="74"/>
      <c r="I9" s="75"/>
      <c r="J9" s="76"/>
      <c r="K9" s="77"/>
      <c r="L9" s="78"/>
      <c r="M9" s="79">
        <f>E9</f>
        <v>1.5900000000000001E-2</v>
      </c>
      <c r="N9" s="10">
        <f t="shared" si="0"/>
        <v>0.99211270400317486</v>
      </c>
      <c r="O9" s="12"/>
      <c r="Q9" s="80">
        <f>Q7+365</f>
        <v>44426</v>
      </c>
      <c r="R9" s="81">
        <f t="shared" si="1"/>
        <v>1.4808219178082191</v>
      </c>
      <c r="S9" s="82">
        <f t="shared" si="3"/>
        <v>1.4268907139966249E-2</v>
      </c>
      <c r="T9" s="40">
        <f t="shared" si="4"/>
        <v>0.97954675760266363</v>
      </c>
      <c r="U9" s="38">
        <f t="shared" si="2"/>
        <v>1.4616438356164383</v>
      </c>
      <c r="V9" s="82">
        <f t="shared" si="5"/>
        <v>1.0757600888582946E-2</v>
      </c>
      <c r="W9" s="31">
        <f t="shared" si="6"/>
        <v>0.9848877069121772</v>
      </c>
      <c r="X9" s="11"/>
      <c r="Y9" s="11"/>
      <c r="Z9" s="11"/>
      <c r="AA9" s="11"/>
      <c r="AB9" s="11"/>
    </row>
    <row r="10" spans="1:28" x14ac:dyDescent="0.35">
      <c r="A10" s="12" t="s">
        <v>37</v>
      </c>
      <c r="B10" s="69"/>
      <c r="C10" s="70"/>
      <c r="D10" s="71">
        <v>1</v>
      </c>
      <c r="E10" s="72">
        <v>1.5100000000000001E-2</v>
      </c>
      <c r="F10" s="73"/>
      <c r="G10" s="74"/>
      <c r="H10" s="74"/>
      <c r="I10" s="75"/>
      <c r="J10" s="76"/>
      <c r="K10" s="77"/>
      <c r="L10" s="78"/>
      <c r="M10" s="79">
        <f>E10</f>
        <v>1.5100000000000001E-2</v>
      </c>
      <c r="N10" s="10">
        <f t="shared" si="0"/>
        <v>0.98506930212501798</v>
      </c>
      <c r="O10" s="12"/>
      <c r="Q10" s="80">
        <f>Q8+364</f>
        <v>44609</v>
      </c>
      <c r="R10" s="81">
        <f>(COUPNUM($R$4,Q10,$B$3,$B$1)-COUPDAYBS($R$4,Q10,$B$3,$B$1)/COUPDAYS($R$4,Q10,$B$3,$B$1))/$B$3</f>
        <v>1.978082191780822</v>
      </c>
      <c r="S10" s="82">
        <f t="shared" si="3"/>
        <v>1.3465440596569489E-2</v>
      </c>
      <c r="T10" s="40">
        <f t="shared" si="4"/>
        <v>0.97383671475840794</v>
      </c>
      <c r="U10" s="38">
        <f t="shared" si="2"/>
        <v>1.9589041095890412</v>
      </c>
      <c r="V10" s="82">
        <f t="shared" si="5"/>
        <v>9.76882354431023E-3</v>
      </c>
      <c r="W10" s="31">
        <f t="shared" si="6"/>
        <v>0.98111497015376548</v>
      </c>
      <c r="X10" s="11"/>
      <c r="Y10" s="11"/>
      <c r="Z10" s="11"/>
      <c r="AA10" s="11"/>
      <c r="AB10" s="11"/>
    </row>
    <row r="11" spans="1:28" x14ac:dyDescent="0.35">
      <c r="A11" s="12" t="s">
        <v>38</v>
      </c>
      <c r="B11" s="83">
        <v>1.4999999999999999E-2</v>
      </c>
      <c r="C11" s="80">
        <v>44593</v>
      </c>
      <c r="D11" s="71">
        <f t="shared" ref="D11:D16" si="7">(COUPNUM($G$3,C11,$B$3,$B$1)-COUPDAYBS($G$3,C11,$B$3,$B$1)/COUPDAYS($G$3,C11,$B$3,$B$1))/$B$3</f>
        <v>1.9342465753424658</v>
      </c>
      <c r="E11" s="84">
        <v>1.35E-2</v>
      </c>
      <c r="F11" s="85">
        <f t="shared" ref="F11:F16" si="8">PRICE($G$3,C11,B11,E11,$B$2,$B$3,$B$1)</f>
        <v>100.28514403207308</v>
      </c>
      <c r="G11" s="4">
        <f t="shared" ref="G11:G16" si="9">COUPDAYBS($G$3,C11,$B$3, $B$1)</f>
        <v>24</v>
      </c>
      <c r="H11" s="4">
        <f t="shared" ref="H11:H16" si="10">COUPDAYS($G$3,$C11, $B$3, $B$1)</f>
        <v>182.5</v>
      </c>
      <c r="I11" s="86">
        <f t="shared" ref="I11:I16" si="11">G11/H11*B11*$B$2/$B$3</f>
        <v>9.8630136986301367E-2</v>
      </c>
      <c r="J11" s="87">
        <f t="shared" ref="J11:J16" si="12">I11+F11</f>
        <v>100.38377416905938</v>
      </c>
      <c r="K11" s="88">
        <f>Bond_ZeroRates($B$2,D11,B11,$B$3,$D$7:$D$16, $M$7:$M$16)</f>
        <v>100.38372314361824</v>
      </c>
      <c r="L11" s="89">
        <f>ABS(K11-J11)</f>
        <v>5.1025441138108363E-5</v>
      </c>
      <c r="M11" s="79">
        <v>1.3485169998452938E-2</v>
      </c>
      <c r="N11" s="10">
        <f t="shared" si="0"/>
        <v>0.97433888798186796</v>
      </c>
      <c r="O11" s="12"/>
      <c r="Q11" s="172">
        <v>44638</v>
      </c>
      <c r="R11" s="173">
        <f>(COUPNUM($R$4,Q11,$B$3,$B$1)-COUPDAYBS($R$4,Q11,$B$3,$B$1)/COUPDAYS($R$4,Q11,$B$3,$B$1))/$B$3</f>
        <v>2.0616438356164384</v>
      </c>
      <c r="S11" s="174">
        <f t="shared" ref="S11" si="13">PWLinear(R11,$D$7:$D$16,$M$7:$M$16)</f>
        <v>1.3427831424229163E-2</v>
      </c>
      <c r="T11" s="175">
        <f t="shared" ref="T11" si="14">PWLinear(R11,$D$7:$D$16,$N$7:$N$16)</f>
        <v>0.97287944705118734</v>
      </c>
      <c r="U11" s="176">
        <f t="shared" ref="U11" si="15">(COUPNUM($U$4,Q11,$B$3,$B$1)-COUPDAYBS($U$4,Q11,$B$3,$B$1)/COUPDAYS($U$4,Q11,$B$3,$B$1))/$B$3</f>
        <v>2.0424657534246577</v>
      </c>
      <c r="V11" s="174">
        <f t="shared" ref="V11" si="16">PWLinear(U11,$D$22:$D$31,$M$22:$M$31)</f>
        <v>9.7420463366328838E-3</v>
      </c>
      <c r="W11" s="177">
        <f t="shared" ref="W11" si="17">PWLinear(U11,$D$22:$D$31,$N$22:$N$31)</f>
        <v>0.98041081281956388</v>
      </c>
      <c r="X11" s="11"/>
      <c r="Y11" s="11"/>
      <c r="Z11" s="11"/>
      <c r="AA11" s="11"/>
      <c r="AB11" s="11"/>
    </row>
    <row r="12" spans="1:28" x14ac:dyDescent="0.35">
      <c r="A12" s="12" t="s">
        <v>39</v>
      </c>
      <c r="B12" s="83">
        <v>0.02</v>
      </c>
      <c r="C12" s="80">
        <v>45170</v>
      </c>
      <c r="D12" s="71">
        <f t="shared" si="7"/>
        <v>3.515068493150685</v>
      </c>
      <c r="E12" s="84">
        <v>1.2800000000000001E-2</v>
      </c>
      <c r="F12" s="85">
        <f t="shared" si="8"/>
        <v>102.46695517949799</v>
      </c>
      <c r="G12" s="4">
        <f t="shared" si="9"/>
        <v>177</v>
      </c>
      <c r="H12" s="4">
        <f t="shared" si="10"/>
        <v>182.5</v>
      </c>
      <c r="I12" s="86">
        <f t="shared" si="11"/>
        <v>0.96986301369863026</v>
      </c>
      <c r="J12" s="87">
        <f t="shared" si="12"/>
        <v>103.43681819319661</v>
      </c>
      <c r="K12" s="88">
        <f>Bond_ZeroRates($B$2,D12,B12,$B$3,$D$7:$D$16, $M$7:$M$16)</f>
        <v>103.4368814467076</v>
      </c>
      <c r="L12" s="89">
        <f t="shared" ref="L12:L16" si="18">ABS(K12-J12)</f>
        <v>6.325351098723786E-5</v>
      </c>
      <c r="M12" s="79">
        <v>1.2773678443031043E-2</v>
      </c>
      <c r="N12" s="10">
        <f>(1+0.5*M12)^(-2*D12)</f>
        <v>0.95622926611084136</v>
      </c>
      <c r="O12" s="12"/>
      <c r="Q12" s="80">
        <f>Q9+365</f>
        <v>44791</v>
      </c>
      <c r="R12" s="81">
        <f t="shared" si="1"/>
        <v>2.4808219178082194</v>
      </c>
      <c r="S12" s="82">
        <f t="shared" si="3"/>
        <v>1.3239169018718678E-2</v>
      </c>
      <c r="T12" s="40">
        <f t="shared" si="4"/>
        <v>0.96807741560185101</v>
      </c>
      <c r="U12" s="38">
        <f t="shared" si="2"/>
        <v>2.4616438356164383</v>
      </c>
      <c r="V12" s="82">
        <f t="shared" si="5"/>
        <v>9.6077213276284951E-3</v>
      </c>
      <c r="W12" s="31">
        <f t="shared" si="6"/>
        <v>0.97687848258570043</v>
      </c>
      <c r="X12" s="11"/>
      <c r="Y12" s="11"/>
      <c r="Z12" s="11"/>
      <c r="AA12" s="11"/>
      <c r="AB12" s="11"/>
    </row>
    <row r="13" spans="1:28" x14ac:dyDescent="0.35">
      <c r="A13" s="12" t="s">
        <v>40</v>
      </c>
      <c r="B13" s="83">
        <v>1.2500000000000001E-2</v>
      </c>
      <c r="C13" s="80">
        <v>45717</v>
      </c>
      <c r="D13" s="71">
        <f t="shared" si="7"/>
        <v>5.015068493150685</v>
      </c>
      <c r="E13" s="84">
        <v>1.2200000000000001E-2</v>
      </c>
      <c r="F13" s="85">
        <f t="shared" si="8"/>
        <v>100.14545635007306</v>
      </c>
      <c r="G13" s="4">
        <f t="shared" si="9"/>
        <v>177</v>
      </c>
      <c r="H13" s="4">
        <f t="shared" si="10"/>
        <v>182.5</v>
      </c>
      <c r="I13" s="86">
        <f t="shared" si="11"/>
        <v>0.60616438356164393</v>
      </c>
      <c r="J13" s="87">
        <f t="shared" si="12"/>
        <v>100.75162073363471</v>
      </c>
      <c r="K13" s="88">
        <f t="shared" ref="K13:K16" si="19">Bond_ZeroRates($B$2,D13,B13,$B$3,$D$7:$D$16, $M$7:$M$16)</f>
        <v>100.75158647787586</v>
      </c>
      <c r="L13" s="89">
        <f t="shared" si="18"/>
        <v>3.4255758848189544E-5</v>
      </c>
      <c r="M13" s="79">
        <v>1.2174844399412922E-2</v>
      </c>
      <c r="N13" s="10">
        <f t="shared" si="0"/>
        <v>0.94094312015302428</v>
      </c>
      <c r="O13" s="12"/>
      <c r="Q13" s="80">
        <f>Q10+365</f>
        <v>44974</v>
      </c>
      <c r="R13" s="81">
        <f t="shared" si="1"/>
        <v>2.978082191780822</v>
      </c>
      <c r="S13" s="82">
        <f t="shared" si="3"/>
        <v>1.3015363616103299E-2</v>
      </c>
      <c r="T13" s="40">
        <f t="shared" si="4"/>
        <v>0.96238088809822653</v>
      </c>
      <c r="U13" s="38">
        <f t="shared" si="2"/>
        <v>2.9589041095890409</v>
      </c>
      <c r="V13" s="82">
        <f t="shared" si="5"/>
        <v>9.4483749934174046E-3</v>
      </c>
      <c r="W13" s="31">
        <f t="shared" si="6"/>
        <v>0.97268816926905843</v>
      </c>
      <c r="X13" s="11"/>
      <c r="Y13" s="11"/>
      <c r="Z13" s="11"/>
      <c r="AA13" s="11"/>
      <c r="AB13" s="11"/>
    </row>
    <row r="14" spans="1:28" x14ac:dyDescent="0.35">
      <c r="A14" s="12" t="s">
        <v>41</v>
      </c>
      <c r="B14" s="83">
        <v>2.2499999999999999E-2</v>
      </c>
      <c r="C14" s="80">
        <v>45809</v>
      </c>
      <c r="D14" s="71">
        <f t="shared" si="7"/>
        <v>5.2643835616438359</v>
      </c>
      <c r="E14" s="84">
        <v>1.21E-2</v>
      </c>
      <c r="F14" s="85">
        <f t="shared" si="8"/>
        <v>105.28790423934464</v>
      </c>
      <c r="G14" s="4">
        <f t="shared" si="9"/>
        <v>86</v>
      </c>
      <c r="H14" s="4">
        <f t="shared" si="10"/>
        <v>182.5</v>
      </c>
      <c r="I14" s="86">
        <f t="shared" si="11"/>
        <v>0.53013698630136985</v>
      </c>
      <c r="J14" s="87">
        <f t="shared" si="12"/>
        <v>105.81804122564601</v>
      </c>
      <c r="K14" s="88">
        <f t="shared" si="19"/>
        <v>105.8180542409702</v>
      </c>
      <c r="L14" s="89">
        <f t="shared" si="18"/>
        <v>1.3015324185516874E-5</v>
      </c>
      <c r="M14" s="79">
        <v>1.2050654352857995E-2</v>
      </c>
      <c r="N14" s="10">
        <f t="shared" si="0"/>
        <v>0.93870979056691106</v>
      </c>
      <c r="O14" s="12"/>
      <c r="Q14" s="80">
        <f t="shared" ref="Q14:Q20" si="20">Q12+365</f>
        <v>45156</v>
      </c>
      <c r="R14" s="81">
        <f t="shared" si="1"/>
        <v>3.4808219178082194</v>
      </c>
      <c r="S14" s="82">
        <f t="shared" si="3"/>
        <v>1.2789092038252488E-2</v>
      </c>
      <c r="T14" s="40">
        <f t="shared" si="4"/>
        <v>0.95662158894166949</v>
      </c>
      <c r="U14" s="38">
        <f t="shared" si="2"/>
        <v>3.4616438356164383</v>
      </c>
      <c r="V14" s="82">
        <f t="shared" si="5"/>
        <v>9.2872727767356698E-3</v>
      </c>
      <c r="W14" s="31">
        <f t="shared" si="6"/>
        <v>0.96845168170099349</v>
      </c>
      <c r="X14" s="11"/>
      <c r="Y14" s="11"/>
      <c r="Z14" s="11"/>
      <c r="AA14" s="11"/>
      <c r="AB14" s="11"/>
    </row>
    <row r="15" spans="1:28" x14ac:dyDescent="0.35">
      <c r="A15" s="12" t="s">
        <v>42</v>
      </c>
      <c r="B15" s="83">
        <v>1.4999999999999999E-2</v>
      </c>
      <c r="C15" s="80">
        <v>46174</v>
      </c>
      <c r="D15" s="71">
        <f t="shared" si="7"/>
        <v>6.2643835616438359</v>
      </c>
      <c r="E15" s="84">
        <v>1.21E-2</v>
      </c>
      <c r="F15" s="85">
        <f t="shared" si="8"/>
        <v>101.74388942817409</v>
      </c>
      <c r="G15" s="4">
        <f t="shared" si="9"/>
        <v>86</v>
      </c>
      <c r="H15" s="4">
        <f t="shared" si="10"/>
        <v>182.5</v>
      </c>
      <c r="I15" s="86">
        <f t="shared" si="11"/>
        <v>0.35342465753424657</v>
      </c>
      <c r="J15" s="87">
        <f t="shared" si="12"/>
        <v>102.09731408570833</v>
      </c>
      <c r="K15" s="88">
        <f t="shared" si="19"/>
        <v>102.09728717084212</v>
      </c>
      <c r="L15" s="89">
        <f t="shared" si="18"/>
        <v>2.6914866211313893E-5</v>
      </c>
      <c r="M15" s="79">
        <v>1.207255156146683E-2</v>
      </c>
      <c r="N15" s="10">
        <f t="shared" si="0"/>
        <v>0.92737269040015669</v>
      </c>
      <c r="O15" s="12"/>
      <c r="Q15" s="80">
        <f>Q13+364</f>
        <v>45338</v>
      </c>
      <c r="R15" s="81">
        <f t="shared" si="1"/>
        <v>3.9753424657534246</v>
      </c>
      <c r="S15" s="82">
        <f t="shared" si="3"/>
        <v>1.2589926626907126E-2</v>
      </c>
      <c r="T15" s="40">
        <f t="shared" si="4"/>
        <v>0.95153872269364814</v>
      </c>
      <c r="U15" s="38">
        <f t="shared" si="2"/>
        <v>3.956164383561644</v>
      </c>
      <c r="V15" s="82">
        <f t="shared" si="5"/>
        <v>9.1548890977650593E-3</v>
      </c>
      <c r="W15" s="31">
        <f t="shared" si="6"/>
        <v>0.96464557625952196</v>
      </c>
      <c r="X15" s="11"/>
      <c r="Y15" s="11"/>
      <c r="Z15" s="11"/>
      <c r="AA15" s="11"/>
      <c r="AB15" s="11"/>
    </row>
    <row r="16" spans="1:28" ht="15" thickBot="1" x14ac:dyDescent="0.4">
      <c r="A16" s="90" t="s">
        <v>43</v>
      </c>
      <c r="B16" s="91">
        <v>0.01</v>
      </c>
      <c r="C16" s="92">
        <v>46539</v>
      </c>
      <c r="D16" s="93">
        <f t="shared" si="7"/>
        <v>7.2643835616438359</v>
      </c>
      <c r="E16" s="94">
        <v>1.23E-2</v>
      </c>
      <c r="F16" s="95">
        <f t="shared" si="8"/>
        <v>98.405960443052052</v>
      </c>
      <c r="G16" s="14">
        <f t="shared" si="9"/>
        <v>86</v>
      </c>
      <c r="H16" s="14">
        <f t="shared" si="10"/>
        <v>182.5</v>
      </c>
      <c r="I16" s="96">
        <f t="shared" si="11"/>
        <v>0.23561643835616439</v>
      </c>
      <c r="J16" s="97">
        <f t="shared" si="12"/>
        <v>98.641576881408213</v>
      </c>
      <c r="K16" s="98">
        <f t="shared" si="19"/>
        <v>98.641615745882106</v>
      </c>
      <c r="L16" s="99">
        <f t="shared" si="18"/>
        <v>3.8864473893340801E-5</v>
      </c>
      <c r="M16" s="100">
        <v>1.229057816159782E-2</v>
      </c>
      <c r="N16" s="101">
        <f t="shared" si="0"/>
        <v>0.91483619065147226</v>
      </c>
      <c r="O16" s="12"/>
      <c r="Q16" s="80">
        <f>Q14+365+2</f>
        <v>45523</v>
      </c>
      <c r="R16" s="81">
        <f t="shared" si="1"/>
        <v>4.4835616438356167</v>
      </c>
      <c r="S16" s="82">
        <f t="shared" si="3"/>
        <v>1.2387033996603635E-2</v>
      </c>
      <c r="T16" s="40">
        <f t="shared" si="4"/>
        <v>0.94635958100383066</v>
      </c>
      <c r="U16" s="38">
        <f t="shared" si="2"/>
        <v>4.4643835616438352</v>
      </c>
      <c r="V16" s="82">
        <f t="shared" si="5"/>
        <v>9.0207474048320038E-3</v>
      </c>
      <c r="W16" s="31">
        <f t="shared" si="6"/>
        <v>0.96076046873691612</v>
      </c>
      <c r="X16" s="11"/>
      <c r="Y16" s="11"/>
      <c r="Z16" s="11"/>
      <c r="AA16" s="11"/>
      <c r="AB16" s="11"/>
    </row>
    <row r="17" spans="1:28" x14ac:dyDescent="0.35">
      <c r="A17" s="102"/>
      <c r="B17" s="102"/>
      <c r="C17" s="102"/>
      <c r="D17" s="102"/>
      <c r="E17" s="102"/>
      <c r="F17" s="102"/>
      <c r="G17" s="102"/>
      <c r="H17" s="102"/>
      <c r="I17" s="102"/>
      <c r="J17" s="103" t="s">
        <v>44</v>
      </c>
      <c r="K17" s="103"/>
      <c r="L17" s="104">
        <f>SUM(L7:L16)</f>
        <v>2.2732937526370733E-4</v>
      </c>
      <c r="M17" s="9"/>
      <c r="N17" s="105"/>
      <c r="O17" s="12"/>
      <c r="Q17" s="80">
        <f>Q15+365+3</f>
        <v>45706</v>
      </c>
      <c r="R17" s="81">
        <f t="shared" si="1"/>
        <v>4.9808219178082194</v>
      </c>
      <c r="S17" s="82">
        <f t="shared" si="3"/>
        <v>1.2188516409541189E-2</v>
      </c>
      <c r="T17" s="40">
        <f t="shared" si="4"/>
        <v>0.94129211891918452</v>
      </c>
      <c r="U17" s="38">
        <f t="shared" si="2"/>
        <v>4.9616438356164387</v>
      </c>
      <c r="V17" s="82">
        <f t="shared" si="5"/>
        <v>8.8894982551427897E-3</v>
      </c>
      <c r="W17" s="31">
        <f t="shared" si="6"/>
        <v>0.95695913711776259</v>
      </c>
      <c r="X17" s="11"/>
      <c r="Y17" s="11"/>
      <c r="Z17" s="11"/>
      <c r="AA17" s="11"/>
      <c r="AB17" s="11"/>
    </row>
    <row r="18" spans="1:28" ht="15" thickBot="1" x14ac:dyDescent="0.4">
      <c r="A18" s="4"/>
      <c r="B18" s="4"/>
      <c r="E18" s="15" t="s">
        <v>6</v>
      </c>
      <c r="F18" s="15"/>
      <c r="G18" s="16">
        <v>43893</v>
      </c>
      <c r="H18" s="16"/>
      <c r="I18" s="17"/>
      <c r="J18" s="8"/>
      <c r="K18" s="8"/>
      <c r="L18" s="8"/>
      <c r="M18" s="9"/>
      <c r="O18" s="12"/>
      <c r="Q18" s="80">
        <f>Q16+365-1</f>
        <v>45887</v>
      </c>
      <c r="R18" s="81">
        <f t="shared" si="1"/>
        <v>5.4808219178082194</v>
      </c>
      <c r="S18" s="82">
        <f t="shared" si="3"/>
        <v>1.2055393748693881E-2</v>
      </c>
      <c r="T18" s="40">
        <f t="shared" si="4"/>
        <v>0.93625600724314784</v>
      </c>
      <c r="U18" s="38">
        <f t="shared" si="2"/>
        <v>5.4616438356164387</v>
      </c>
      <c r="V18" s="82">
        <f t="shared" si="5"/>
        <v>8.8923151234003312E-3</v>
      </c>
      <c r="W18" s="31">
        <f t="shared" si="6"/>
        <v>0.95268468824835451</v>
      </c>
      <c r="X18" s="11"/>
      <c r="Y18" s="11"/>
      <c r="Z18" s="11"/>
      <c r="AA18" s="11"/>
      <c r="AB18" s="11"/>
    </row>
    <row r="19" spans="1:28" x14ac:dyDescent="0.35">
      <c r="A19" s="19"/>
      <c r="B19" s="19"/>
      <c r="C19" s="68"/>
      <c r="D19" s="68"/>
      <c r="E19" s="21"/>
      <c r="F19" s="22"/>
      <c r="G19" s="23" t="s">
        <v>8</v>
      </c>
      <c r="H19" s="23"/>
      <c r="I19" s="24"/>
      <c r="J19" s="25" t="s">
        <v>9</v>
      </c>
      <c r="K19" s="25" t="s">
        <v>10</v>
      </c>
      <c r="L19" s="25" t="s">
        <v>11</v>
      </c>
      <c r="M19" s="26" t="s">
        <v>12</v>
      </c>
      <c r="N19" s="27"/>
      <c r="O19" s="12"/>
      <c r="P19" s="12"/>
      <c r="Q19" s="80">
        <f t="shared" si="20"/>
        <v>46071</v>
      </c>
      <c r="R19" s="81">
        <f t="shared" si="1"/>
        <v>5.9808219178082194</v>
      </c>
      <c r="S19" s="82">
        <f t="shared" si="3"/>
        <v>1.2066342352998298E-2</v>
      </c>
      <c r="T19" s="40">
        <f t="shared" si="4"/>
        <v>0.93058745715977065</v>
      </c>
      <c r="U19" s="38">
        <f t="shared" si="2"/>
        <v>5.9616438356164387</v>
      </c>
      <c r="V19" s="82">
        <f t="shared" si="5"/>
        <v>8.9517318088794574E-3</v>
      </c>
      <c r="W19" s="31">
        <f t="shared" si="6"/>
        <v>0.94813095938514524</v>
      </c>
    </row>
    <row r="20" spans="1:28" x14ac:dyDescent="0.35">
      <c r="A20" s="4"/>
      <c r="B20" s="4"/>
      <c r="C20" s="31" t="s">
        <v>13</v>
      </c>
      <c r="D20" s="31" t="s">
        <v>13</v>
      </c>
      <c r="E20" s="32" t="s">
        <v>14</v>
      </c>
      <c r="F20" s="33"/>
      <c r="G20" s="34" t="s">
        <v>15</v>
      </c>
      <c r="H20" s="34" t="s">
        <v>16</v>
      </c>
      <c r="I20" s="35" t="s">
        <v>17</v>
      </c>
      <c r="J20" s="36" t="s">
        <v>11</v>
      </c>
      <c r="K20" s="36" t="s">
        <v>11</v>
      </c>
      <c r="L20" s="36" t="s">
        <v>1</v>
      </c>
      <c r="M20" s="37" t="s">
        <v>18</v>
      </c>
      <c r="N20" s="38" t="s">
        <v>19</v>
      </c>
      <c r="O20" s="12"/>
      <c r="P20" s="12"/>
      <c r="Q20" s="80">
        <f t="shared" si="20"/>
        <v>46252</v>
      </c>
      <c r="R20" s="81">
        <f t="shared" si="1"/>
        <v>6.4808219178082194</v>
      </c>
      <c r="S20" s="82">
        <f t="shared" si="3"/>
        <v>1.2119740880399292E-2</v>
      </c>
      <c r="T20" s="40">
        <f t="shared" si="4"/>
        <v>0.92465931100249621</v>
      </c>
      <c r="U20" s="38">
        <f t="shared" si="2"/>
        <v>6.4616438356164387</v>
      </c>
      <c r="V20" s="82">
        <f>PWLinear(U20,$D$22:$D$31,$M$22:$M$31)</f>
        <v>9.0984788940886487E-3</v>
      </c>
      <c r="W20" s="31">
        <f>PWLinear(U20,$D$22:$D$31,$N$22:$N$31)</f>
        <v>0.94295926558325105</v>
      </c>
    </row>
    <row r="21" spans="1:28" ht="17" thickBot="1" x14ac:dyDescent="0.4">
      <c r="A21" s="41" t="s">
        <v>21</v>
      </c>
      <c r="B21" s="42" t="s">
        <v>16</v>
      </c>
      <c r="C21" s="43" t="s">
        <v>22</v>
      </c>
      <c r="D21" s="43" t="s">
        <v>23</v>
      </c>
      <c r="E21" s="44" t="s">
        <v>24</v>
      </c>
      <c r="F21" s="45" t="s">
        <v>11</v>
      </c>
      <c r="G21" s="43" t="s">
        <v>16</v>
      </c>
      <c r="H21" s="43" t="s">
        <v>25</v>
      </c>
      <c r="I21" s="43" t="s">
        <v>26</v>
      </c>
      <c r="J21" s="43" t="s">
        <v>27</v>
      </c>
      <c r="K21" s="43" t="s">
        <v>28</v>
      </c>
      <c r="L21" s="43" t="s">
        <v>29</v>
      </c>
      <c r="M21" s="46" t="s">
        <v>30</v>
      </c>
      <c r="N21" s="47" t="s">
        <v>31</v>
      </c>
      <c r="O21" s="12"/>
      <c r="P21" s="12"/>
      <c r="Q21" s="80">
        <f>Q19+365</f>
        <v>46436</v>
      </c>
      <c r="R21" s="81">
        <f t="shared" si="1"/>
        <v>6.9808219178082194</v>
      </c>
      <c r="S21" s="82">
        <f t="shared" si="3"/>
        <v>1.2228754180464787E-2</v>
      </c>
      <c r="T21" s="40">
        <f t="shared" si="4"/>
        <v>0.91839106112815405</v>
      </c>
      <c r="U21" s="38">
        <f t="shared" si="2"/>
        <v>6.9616438356164387</v>
      </c>
      <c r="V21" s="82">
        <f t="shared" si="5"/>
        <v>9.359639857425198E-3</v>
      </c>
      <c r="W21" s="31">
        <f t="shared" si="6"/>
        <v>0.9369779594882699</v>
      </c>
    </row>
    <row r="22" spans="1:28" ht="17" thickBot="1" x14ac:dyDescent="0.4">
      <c r="A22" s="109" t="s">
        <v>34</v>
      </c>
      <c r="B22" s="52"/>
      <c r="C22" s="53"/>
      <c r="D22" s="110">
        <f>D7</f>
        <v>8.3333333333333329E-2</v>
      </c>
      <c r="E22" s="111">
        <v>1.34E-2</v>
      </c>
      <c r="F22" s="56"/>
      <c r="G22" s="57"/>
      <c r="H22" s="57"/>
      <c r="I22" s="58"/>
      <c r="J22" s="59"/>
      <c r="K22" s="60"/>
      <c r="L22" s="61"/>
      <c r="M22" s="62">
        <f>E22</f>
        <v>1.34E-2</v>
      </c>
      <c r="N22" s="63">
        <f t="shared" ref="N22:N31" si="21">(1+0.5*M22)^(-2*D22)</f>
        <v>0.99888767663189282</v>
      </c>
      <c r="O22" s="12"/>
      <c r="P22" s="12"/>
      <c r="Q22" s="92">
        <v>46443</v>
      </c>
      <c r="R22" s="106">
        <f t="shared" si="1"/>
        <v>7</v>
      </c>
      <c r="S22" s="107">
        <f t="shared" si="3"/>
        <v>1.2232935512522093E-2</v>
      </c>
      <c r="T22" s="51">
        <f t="shared" si="4"/>
        <v>0.91815063510557648</v>
      </c>
      <c r="U22" s="108">
        <f t="shared" si="2"/>
        <v>6.9808219178082194</v>
      </c>
      <c r="V22" s="107">
        <f t="shared" si="5"/>
        <v>9.3696569902655038E-3</v>
      </c>
      <c r="W22" s="50">
        <f t="shared" si="6"/>
        <v>0.93674853952846249</v>
      </c>
    </row>
    <row r="23" spans="1:28" x14ac:dyDescent="0.35">
      <c r="A23" s="112" t="s">
        <v>35</v>
      </c>
      <c r="B23" s="69"/>
      <c r="C23" s="70"/>
      <c r="D23" s="113">
        <f t="shared" ref="D23:D25" si="22">D8</f>
        <v>0.25</v>
      </c>
      <c r="E23" s="114">
        <v>1.24E-2</v>
      </c>
      <c r="F23" s="73"/>
      <c r="G23" s="74"/>
      <c r="H23" s="74"/>
      <c r="I23" s="75"/>
      <c r="J23" s="76"/>
      <c r="K23" s="77"/>
      <c r="L23" s="78"/>
      <c r="M23" s="79">
        <f>E23</f>
        <v>1.24E-2</v>
      </c>
      <c r="N23" s="10">
        <f t="shared" si="21"/>
        <v>0.99691434092429865</v>
      </c>
      <c r="O23" s="12"/>
      <c r="P23" s="12"/>
      <c r="Q23" s="80"/>
    </row>
    <row r="24" spans="1:28" x14ac:dyDescent="0.35">
      <c r="A24" s="112" t="s">
        <v>36</v>
      </c>
      <c r="B24" s="69"/>
      <c r="C24" s="70"/>
      <c r="D24" s="113">
        <f t="shared" si="22"/>
        <v>0.5</v>
      </c>
      <c r="E24" s="114">
        <v>1.23E-2</v>
      </c>
      <c r="F24" s="73"/>
      <c r="G24" s="74"/>
      <c r="H24" s="74"/>
      <c r="I24" s="75"/>
      <c r="J24" s="76"/>
      <c r="K24" s="77"/>
      <c r="L24" s="78"/>
      <c r="M24" s="79">
        <f>E24</f>
        <v>1.23E-2</v>
      </c>
      <c r="N24" s="10">
        <f t="shared" si="21"/>
        <v>0.9938875913134223</v>
      </c>
      <c r="O24" s="12"/>
      <c r="P24" s="12"/>
      <c r="Q24" s="80"/>
    </row>
    <row r="25" spans="1:28" x14ac:dyDescent="0.35">
      <c r="A25" s="112" t="s">
        <v>37</v>
      </c>
      <c r="B25" s="69"/>
      <c r="C25" s="70"/>
      <c r="D25" s="113">
        <f t="shared" si="22"/>
        <v>1</v>
      </c>
      <c r="E25" s="114">
        <v>1.175E-2</v>
      </c>
      <c r="F25" s="73"/>
      <c r="G25" s="74"/>
      <c r="H25" s="74"/>
      <c r="I25" s="75"/>
      <c r="J25" s="76"/>
      <c r="K25" s="77"/>
      <c r="L25" s="78"/>
      <c r="M25" s="79">
        <f>E25</f>
        <v>1.175E-2</v>
      </c>
      <c r="N25" s="10">
        <f t="shared" si="21"/>
        <v>0.98835274167274589</v>
      </c>
      <c r="O25" s="12"/>
      <c r="P25" s="12"/>
      <c r="Q25" s="80"/>
    </row>
    <row r="26" spans="1:28" x14ac:dyDescent="0.35">
      <c r="A26" s="112" t="s">
        <v>38</v>
      </c>
      <c r="B26" s="69">
        <f>B11</f>
        <v>1.4999999999999999E-2</v>
      </c>
      <c r="C26" s="70">
        <f t="shared" ref="C26:C31" si="23">C11</f>
        <v>44593</v>
      </c>
      <c r="D26" s="115">
        <f t="shared" ref="D26:D31" si="24">(COUPNUM($G$18,C26,$B$3,$B$1)-COUPDAYBS($G$18,C26,$B$3,$B$1)/COUPDAYS($G$18,C26,$B$3,$B$1))/$B$3</f>
        <v>1.9150684931506849</v>
      </c>
      <c r="E26" s="116">
        <v>9.7999999999999997E-3</v>
      </c>
      <c r="F26" s="85">
        <f t="shared" ref="F26:F31" si="25">PRICE($G$18,C26,B26,E26,$B$2,$B$3,$B$1)</f>
        <v>100.98390401553782</v>
      </c>
      <c r="G26" s="4">
        <f t="shared" ref="G26:G31" si="26">COUPDAYBS($G$18,C26,$B$3, $B$1)</f>
        <v>31</v>
      </c>
      <c r="H26" s="4">
        <f t="shared" ref="H26:H31" si="27">COUPDAYS($G$18,$C26, $B$3, $B$1)</f>
        <v>182.5</v>
      </c>
      <c r="I26" s="86">
        <f t="shared" ref="I26:I31" si="28">G26/H26*B26*$B$2/$B$3</f>
        <v>0.12739726027397258</v>
      </c>
      <c r="J26" s="117">
        <f>I26+F26</f>
        <v>101.11130127581178</v>
      </c>
      <c r="K26" s="88">
        <f t="shared" ref="K26:K31" si="29">Bond_ZeroRates($B$2,D26,B26,$B$3,$D$22:$D$31, $M$22:$M$31)</f>
        <v>101.11126653770293</v>
      </c>
      <c r="L26" s="89">
        <f>ABS(K26-J26)</f>
        <v>3.4738108851684046E-5</v>
      </c>
      <c r="M26" s="79">
        <v>9.7828706040753947E-3</v>
      </c>
      <c r="N26" s="10">
        <f t="shared" si="21"/>
        <v>0.98148436416514984</v>
      </c>
      <c r="O26" s="12"/>
      <c r="P26" s="12"/>
    </row>
    <row r="27" spans="1:28" x14ac:dyDescent="0.35">
      <c r="A27" s="112" t="s">
        <v>39</v>
      </c>
      <c r="B27" s="69">
        <f t="shared" ref="B27:B31" si="30">B12</f>
        <v>0.02</v>
      </c>
      <c r="C27" s="70">
        <f t="shared" si="23"/>
        <v>45170</v>
      </c>
      <c r="D27" s="115">
        <f t="shared" si="24"/>
        <v>3.4945205479452053</v>
      </c>
      <c r="E27" s="116">
        <v>9.2999999999999992E-3</v>
      </c>
      <c r="F27" s="85">
        <f t="shared" si="25"/>
        <v>103.67061574858423</v>
      </c>
      <c r="G27" s="4">
        <f t="shared" si="26"/>
        <v>2</v>
      </c>
      <c r="H27" s="4">
        <f t="shared" si="27"/>
        <v>182.5</v>
      </c>
      <c r="I27" s="86">
        <f t="shared" si="28"/>
        <v>1.0958904109589041E-2</v>
      </c>
      <c r="J27" s="87">
        <f t="shared" ref="J27:J31" si="31">I27+F27</f>
        <v>103.68157465269381</v>
      </c>
      <c r="K27" s="88">
        <f t="shared" si="29"/>
        <v>103.68157276884463</v>
      </c>
      <c r="L27" s="89">
        <f t="shared" ref="L27:L31" si="32">ABS(K27-J27)</f>
        <v>1.8838491797623647E-6</v>
      </c>
      <c r="M27" s="79">
        <v>9.2767374819117954E-3</v>
      </c>
      <c r="N27" s="10">
        <f t="shared" si="21"/>
        <v>0.96817463619245514</v>
      </c>
      <c r="O27" s="12"/>
      <c r="P27" s="12"/>
    </row>
    <row r="28" spans="1:28" x14ac:dyDescent="0.35">
      <c r="A28" s="112" t="s">
        <v>40</v>
      </c>
      <c r="B28" s="69">
        <f t="shared" si="30"/>
        <v>1.2500000000000001E-2</v>
      </c>
      <c r="C28" s="70">
        <f t="shared" si="23"/>
        <v>45717</v>
      </c>
      <c r="D28" s="115">
        <f t="shared" si="24"/>
        <v>4.9945205479452053</v>
      </c>
      <c r="E28" s="116">
        <v>8.8999999999999999E-3</v>
      </c>
      <c r="F28" s="85">
        <f t="shared" si="25"/>
        <v>101.75482015672088</v>
      </c>
      <c r="G28" s="4">
        <f t="shared" si="26"/>
        <v>2</v>
      </c>
      <c r="H28" s="4">
        <f t="shared" si="27"/>
        <v>182.5</v>
      </c>
      <c r="I28" s="86">
        <f t="shared" si="28"/>
        <v>6.8493150684931512E-3</v>
      </c>
      <c r="J28" s="117">
        <f>I28+F28</f>
        <v>101.76166947178938</v>
      </c>
      <c r="K28" s="88">
        <f t="shared" si="29"/>
        <v>101.76166601035015</v>
      </c>
      <c r="L28" s="89">
        <f>ABS(K28-J28)</f>
        <v>3.4614392205867262E-6</v>
      </c>
      <c r="M28" s="79">
        <v>8.8808206254112707E-3</v>
      </c>
      <c r="N28" s="10">
        <f t="shared" si="21"/>
        <v>0.9567078094074053</v>
      </c>
      <c r="O28" s="12"/>
      <c r="P28" s="12"/>
    </row>
    <row r="29" spans="1:28" x14ac:dyDescent="0.35">
      <c r="A29" s="112" t="s">
        <v>41</v>
      </c>
      <c r="B29" s="69">
        <f t="shared" si="30"/>
        <v>2.2499999999999999E-2</v>
      </c>
      <c r="C29" s="70">
        <f t="shared" si="23"/>
        <v>45809</v>
      </c>
      <c r="D29" s="115">
        <f t="shared" si="24"/>
        <v>5.2452054794520544</v>
      </c>
      <c r="E29" s="116">
        <v>8.8999999999999999E-3</v>
      </c>
      <c r="F29" s="85">
        <f t="shared" si="25"/>
        <v>106.95380846225112</v>
      </c>
      <c r="G29" s="4">
        <f t="shared" si="26"/>
        <v>93</v>
      </c>
      <c r="H29" s="4">
        <f t="shared" si="27"/>
        <v>182.5</v>
      </c>
      <c r="I29" s="86">
        <f t="shared" si="28"/>
        <v>0.57328767123287672</v>
      </c>
      <c r="J29" s="87">
        <f t="shared" si="31"/>
        <v>107.52709613348399</v>
      </c>
      <c r="K29" s="88">
        <f t="shared" si="29"/>
        <v>107.52709481359612</v>
      </c>
      <c r="L29" s="89">
        <f t="shared" si="32"/>
        <v>1.3198878718867491E-6</v>
      </c>
      <c r="M29" s="79">
        <v>8.8665950239326542E-3</v>
      </c>
      <c r="N29" s="10">
        <f t="shared" si="21"/>
        <v>0.95465589142749718</v>
      </c>
      <c r="O29" s="12"/>
      <c r="P29" s="12"/>
    </row>
    <row r="30" spans="1:28" x14ac:dyDescent="0.35">
      <c r="A30" s="112" t="s">
        <v>42</v>
      </c>
      <c r="B30" s="69">
        <f t="shared" si="30"/>
        <v>1.4999999999999999E-2</v>
      </c>
      <c r="C30" s="70">
        <f t="shared" si="23"/>
        <v>46174</v>
      </c>
      <c r="D30" s="115">
        <f t="shared" si="24"/>
        <v>6.2452054794520544</v>
      </c>
      <c r="E30" s="116">
        <v>8.9999999999999993E-3</v>
      </c>
      <c r="F30" s="85">
        <f t="shared" si="25"/>
        <v>103.63539419906097</v>
      </c>
      <c r="G30" s="4">
        <f t="shared" si="26"/>
        <v>93</v>
      </c>
      <c r="H30" s="4">
        <f t="shared" si="27"/>
        <v>182.5</v>
      </c>
      <c r="I30" s="86">
        <f t="shared" si="28"/>
        <v>0.38219178082191779</v>
      </c>
      <c r="J30" s="87">
        <f t="shared" si="31"/>
        <v>104.01758597988288</v>
      </c>
      <c r="K30" s="88">
        <f t="shared" si="29"/>
        <v>104.01759798516407</v>
      </c>
      <c r="L30" s="89">
        <f t="shared" si="32"/>
        <v>1.2005281192273287E-5</v>
      </c>
      <c r="M30" s="79">
        <v>8.9854283948909083E-3</v>
      </c>
      <c r="N30" s="10">
        <f t="shared" si="21"/>
        <v>0.94554843370107855</v>
      </c>
      <c r="O30" s="12"/>
      <c r="P30" s="12"/>
    </row>
    <row r="31" spans="1:28" ht="15" thickBot="1" x14ac:dyDescent="0.4">
      <c r="A31" s="118" t="s">
        <v>43</v>
      </c>
      <c r="B31" s="119">
        <f t="shared" si="30"/>
        <v>0.01</v>
      </c>
      <c r="C31" s="120">
        <f t="shared" si="23"/>
        <v>46539</v>
      </c>
      <c r="D31" s="115">
        <f t="shared" si="24"/>
        <v>7.2452054794520544</v>
      </c>
      <c r="E31" s="121">
        <v>9.4999999999999998E-3</v>
      </c>
      <c r="F31" s="95">
        <f t="shared" si="25"/>
        <v>100.3489776252101</v>
      </c>
      <c r="G31" s="14">
        <f t="shared" si="26"/>
        <v>93</v>
      </c>
      <c r="H31" s="14">
        <f t="shared" si="27"/>
        <v>182.5</v>
      </c>
      <c r="I31" s="96">
        <f t="shared" si="28"/>
        <v>0.25479452054794521</v>
      </c>
      <c r="J31" s="97">
        <f t="shared" si="31"/>
        <v>100.60377214575804</v>
      </c>
      <c r="K31" s="98">
        <f t="shared" si="29"/>
        <v>100.60371319443988</v>
      </c>
      <c r="L31" s="99">
        <f t="shared" si="32"/>
        <v>5.8951318166577948E-5</v>
      </c>
      <c r="M31" s="100">
        <v>9.5077503215640086E-3</v>
      </c>
      <c r="N31" s="101">
        <f t="shared" si="21"/>
        <v>0.93358582151111624</v>
      </c>
      <c r="O31" s="12"/>
      <c r="P31" s="12"/>
    </row>
    <row r="32" spans="1:28" ht="16.5" x14ac:dyDescent="0.35">
      <c r="A32" s="102" t="s">
        <v>45</v>
      </c>
      <c r="B32" s="102"/>
      <c r="C32" s="102"/>
      <c r="D32" s="102"/>
      <c r="E32" s="102"/>
      <c r="F32" s="102"/>
      <c r="G32" s="102"/>
      <c r="H32" s="102"/>
      <c r="I32" s="102"/>
      <c r="J32" s="103" t="s">
        <v>44</v>
      </c>
      <c r="K32" s="103"/>
      <c r="L32" s="104">
        <f>SUM(L22:L31)</f>
        <v>1.1235988448277112E-4</v>
      </c>
      <c r="M32" s="9"/>
      <c r="N32" s="105"/>
      <c r="O32" s="12"/>
      <c r="P32" s="12"/>
    </row>
    <row r="33" spans="1:32" ht="16.5" x14ac:dyDescent="0.35">
      <c r="A33" s="122" t="s">
        <v>46</v>
      </c>
      <c r="B33" s="122"/>
      <c r="C33" s="122"/>
      <c r="D33" s="122"/>
      <c r="E33" s="122"/>
      <c r="F33" s="122"/>
      <c r="G33" s="122"/>
      <c r="H33" s="122"/>
      <c r="I33" s="122"/>
      <c r="J33" s="122"/>
      <c r="K33" s="122"/>
      <c r="O33" s="12"/>
      <c r="P33" s="12"/>
    </row>
    <row r="34" spans="1:32" x14ac:dyDescent="0.35">
      <c r="O34" s="12"/>
      <c r="P34" s="12"/>
    </row>
    <row r="35" spans="1:32" x14ac:dyDescent="0.35">
      <c r="O35" s="12"/>
      <c r="P35" s="12"/>
      <c r="T35" s="12" t="s">
        <v>0</v>
      </c>
    </row>
    <row r="36" spans="1:32" x14ac:dyDescent="0.35">
      <c r="O36" s="12"/>
      <c r="P36" s="12"/>
    </row>
    <row r="37" spans="1:32" x14ac:dyDescent="0.35">
      <c r="O37" s="12"/>
      <c r="P37" s="12"/>
    </row>
    <row r="38" spans="1:32" x14ac:dyDescent="0.35">
      <c r="O38" s="12"/>
      <c r="P38" s="12"/>
    </row>
    <row r="39" spans="1:32" x14ac:dyDescent="0.35">
      <c r="O39" s="12"/>
      <c r="P39" s="12"/>
    </row>
    <row r="40" spans="1:32" x14ac:dyDescent="0.35">
      <c r="O40" s="12"/>
      <c r="P40" s="12"/>
    </row>
    <row r="41" spans="1:32" ht="15" thickBot="1" x14ac:dyDescent="0.4">
      <c r="O41" s="12"/>
      <c r="P41" s="12"/>
    </row>
    <row r="42" spans="1:32" ht="43.5" x14ac:dyDescent="0.35">
      <c r="O42" s="12"/>
      <c r="P42" s="12"/>
      <c r="AA42" s="123" t="s">
        <v>13</v>
      </c>
      <c r="AB42" s="124" t="s">
        <v>47</v>
      </c>
      <c r="AC42" s="125" t="s">
        <v>13</v>
      </c>
      <c r="AD42" s="126" t="s">
        <v>48</v>
      </c>
      <c r="AE42" s="123" t="s">
        <v>13</v>
      </c>
      <c r="AF42" s="126" t="s">
        <v>48</v>
      </c>
    </row>
    <row r="43" spans="1:32" ht="15" thickBot="1" x14ac:dyDescent="0.4">
      <c r="O43" s="12"/>
      <c r="P43" s="12"/>
      <c r="AA43" s="127" t="s">
        <v>23</v>
      </c>
      <c r="AB43" s="50" t="s">
        <v>49</v>
      </c>
      <c r="AC43" s="128" t="s">
        <v>23</v>
      </c>
      <c r="AD43" s="50" t="s">
        <v>49</v>
      </c>
      <c r="AE43" s="127" t="s">
        <v>23</v>
      </c>
      <c r="AF43" s="50" t="s">
        <v>49</v>
      </c>
    </row>
    <row r="44" spans="1:32" x14ac:dyDescent="0.35">
      <c r="O44" s="12"/>
      <c r="P44" s="12"/>
      <c r="AA44" s="129">
        <v>0</v>
      </c>
      <c r="AB44" s="130">
        <f>AB45</f>
        <v>1.6299999999999999E-2</v>
      </c>
      <c r="AC44" s="131">
        <f>AA68+0.5</f>
        <v>8</v>
      </c>
      <c r="AD44" s="132">
        <f t="shared" ref="AD44:AD55" si="33">PWLinear(AC44,$D$7:$D$16,$M$7:$M$16)</f>
        <v>1.229057816159782E-2</v>
      </c>
      <c r="AE44" s="131">
        <f>AC68+0.5</f>
        <v>19</v>
      </c>
      <c r="AF44" s="132">
        <f t="shared" ref="AF44:AF55" si="34">PWLinear(AE44,$D$7:$D$16,$M$7:$M$16)</f>
        <v>1.229057816159782E-2</v>
      </c>
    </row>
    <row r="45" spans="1:32" x14ac:dyDescent="0.35">
      <c r="O45" s="12"/>
      <c r="P45" s="12"/>
      <c r="AA45" s="133">
        <f>D7</f>
        <v>8.3333333333333329E-2</v>
      </c>
      <c r="AB45" s="134">
        <f t="shared" ref="AB45:AB55" si="35">PWLinear(AA45,$D$7:$D$16,$M$7:$M$16)</f>
        <v>1.6299999999999999E-2</v>
      </c>
      <c r="AC45" s="135">
        <f>AC44+0.5</f>
        <v>8.5</v>
      </c>
      <c r="AD45" s="136">
        <f t="shared" si="33"/>
        <v>1.229057816159782E-2</v>
      </c>
      <c r="AE45" s="135">
        <f>AE44+0.5</f>
        <v>19.5</v>
      </c>
      <c r="AF45" s="136">
        <f t="shared" si="34"/>
        <v>1.229057816159782E-2</v>
      </c>
    </row>
    <row r="46" spans="1:32" x14ac:dyDescent="0.35">
      <c r="O46" s="12"/>
      <c r="P46" s="12"/>
      <c r="AA46" s="137">
        <v>0.5</v>
      </c>
      <c r="AB46" s="136">
        <f t="shared" si="35"/>
        <v>1.5900000000000001E-2</v>
      </c>
      <c r="AC46" s="135">
        <f>AC45+0.5</f>
        <v>9</v>
      </c>
      <c r="AD46" s="136">
        <f t="shared" si="33"/>
        <v>1.229057816159782E-2</v>
      </c>
      <c r="AE46" s="135">
        <f t="shared" ref="AE46:AE47" si="36">AE45+0.5</f>
        <v>20</v>
      </c>
      <c r="AF46" s="136">
        <f t="shared" si="34"/>
        <v>1.229057816159782E-2</v>
      </c>
    </row>
    <row r="47" spans="1:32" x14ac:dyDescent="0.35">
      <c r="O47" s="12"/>
      <c r="P47" s="12"/>
      <c r="AA47" s="133">
        <f>D8</f>
        <v>0.25</v>
      </c>
      <c r="AB47" s="134">
        <f t="shared" si="35"/>
        <v>1.61E-2</v>
      </c>
      <c r="AC47" s="138">
        <f>D16</f>
        <v>7.2643835616438359</v>
      </c>
      <c r="AD47" s="134">
        <f t="shared" si="33"/>
        <v>1.229057816159782E-2</v>
      </c>
      <c r="AE47" s="135">
        <f t="shared" si="36"/>
        <v>20.5</v>
      </c>
      <c r="AF47" s="136">
        <f t="shared" si="34"/>
        <v>1.229057816159782E-2</v>
      </c>
    </row>
    <row r="48" spans="1:32" x14ac:dyDescent="0.35">
      <c r="AA48" s="137">
        <v>1</v>
      </c>
      <c r="AB48" s="136">
        <f t="shared" si="35"/>
        <v>1.5100000000000001E-2</v>
      </c>
      <c r="AC48" s="135">
        <v>9.5</v>
      </c>
      <c r="AD48" s="136">
        <f t="shared" si="33"/>
        <v>1.229057816159782E-2</v>
      </c>
      <c r="AE48" s="135">
        <f>AE47+0.5</f>
        <v>21</v>
      </c>
      <c r="AF48" s="136">
        <f t="shared" si="34"/>
        <v>1.229057816159782E-2</v>
      </c>
    </row>
    <row r="49" spans="27:32" x14ac:dyDescent="0.35">
      <c r="AA49" s="133">
        <f>D9</f>
        <v>0.5</v>
      </c>
      <c r="AB49" s="134">
        <f t="shared" si="35"/>
        <v>1.5900000000000001E-2</v>
      </c>
      <c r="AC49" s="135">
        <f t="shared" ref="AC49:AC66" si="37">AC48+0.5</f>
        <v>10</v>
      </c>
      <c r="AD49" s="136">
        <f t="shared" si="33"/>
        <v>1.229057816159782E-2</v>
      </c>
      <c r="AE49" s="135">
        <f>AE48+0.5</f>
        <v>21.5</v>
      </c>
      <c r="AF49" s="136">
        <f t="shared" si="34"/>
        <v>1.229057816159782E-2</v>
      </c>
    </row>
    <row r="50" spans="27:32" x14ac:dyDescent="0.35">
      <c r="AA50" s="137">
        <v>1.5</v>
      </c>
      <c r="AB50" s="136">
        <f t="shared" si="35"/>
        <v>1.4235758137001939E-2</v>
      </c>
      <c r="AC50" s="135">
        <f t="shared" si="37"/>
        <v>10.5</v>
      </c>
      <c r="AD50" s="136">
        <f t="shared" si="33"/>
        <v>1.229057816159782E-2</v>
      </c>
      <c r="AE50" s="135">
        <f>AE49+0.5</f>
        <v>22</v>
      </c>
      <c r="AF50" s="136">
        <f t="shared" si="34"/>
        <v>1.229057816159782E-2</v>
      </c>
    </row>
    <row r="51" spans="27:32" x14ac:dyDescent="0.35">
      <c r="AA51" s="133">
        <f>D10</f>
        <v>1</v>
      </c>
      <c r="AB51" s="134">
        <f t="shared" si="35"/>
        <v>1.5100000000000001E-2</v>
      </c>
      <c r="AC51" s="135">
        <f t="shared" si="37"/>
        <v>11</v>
      </c>
      <c r="AD51" s="136">
        <f t="shared" si="33"/>
        <v>1.229057816159782E-2</v>
      </c>
      <c r="AE51" s="138" t="e">
        <f>#REF!</f>
        <v>#REF!</v>
      </c>
      <c r="AF51" s="134" t="e">
        <f t="shared" si="34"/>
        <v>#VALUE!</v>
      </c>
    </row>
    <row r="52" spans="27:32" x14ac:dyDescent="0.35">
      <c r="AA52" s="137">
        <v>2</v>
      </c>
      <c r="AB52" s="136">
        <f t="shared" si="35"/>
        <v>1.3455575895627764E-2</v>
      </c>
      <c r="AC52" s="135">
        <f t="shared" si="37"/>
        <v>11.5</v>
      </c>
      <c r="AD52" s="136">
        <f t="shared" si="33"/>
        <v>1.229057816159782E-2</v>
      </c>
      <c r="AE52" s="135">
        <v>22.5</v>
      </c>
      <c r="AF52" s="136">
        <f t="shared" si="34"/>
        <v>1.229057816159782E-2</v>
      </c>
    </row>
    <row r="53" spans="27:32" x14ac:dyDescent="0.35">
      <c r="AA53" s="137">
        <f t="shared" ref="AA53:AA68" si="38">AA52+0.5</f>
        <v>2.5</v>
      </c>
      <c r="AB53" s="136">
        <f t="shared" si="35"/>
        <v>1.323053740539467E-2</v>
      </c>
      <c r="AC53" s="135">
        <f t="shared" si="37"/>
        <v>12</v>
      </c>
      <c r="AD53" s="136">
        <f t="shared" si="33"/>
        <v>1.229057816159782E-2</v>
      </c>
      <c r="AE53" s="135">
        <f t="shared" ref="AE53:AE68" si="39">AE52+0.5</f>
        <v>23</v>
      </c>
      <c r="AF53" s="136">
        <f t="shared" si="34"/>
        <v>1.229057816159782E-2</v>
      </c>
    </row>
    <row r="54" spans="27:32" x14ac:dyDescent="0.35">
      <c r="AA54" s="133">
        <f>D11</f>
        <v>1.9342465753424658</v>
      </c>
      <c r="AB54" s="134">
        <f t="shared" si="35"/>
        <v>1.3485169998452938E-2</v>
      </c>
      <c r="AC54" s="135">
        <f t="shared" si="37"/>
        <v>12.5</v>
      </c>
      <c r="AD54" s="136">
        <f t="shared" si="33"/>
        <v>1.229057816159782E-2</v>
      </c>
      <c r="AE54" s="135">
        <f t="shared" si="39"/>
        <v>23.5</v>
      </c>
      <c r="AF54" s="136">
        <f t="shared" si="34"/>
        <v>1.229057816159782E-2</v>
      </c>
    </row>
    <row r="55" spans="27:32" x14ac:dyDescent="0.35">
      <c r="AA55" s="137">
        <v>4</v>
      </c>
      <c r="AB55" s="136">
        <f t="shared" si="35"/>
        <v>1.2580082779614773E-2</v>
      </c>
      <c r="AC55" s="138" t="e">
        <f>#REF!</f>
        <v>#REF!</v>
      </c>
      <c r="AD55" s="134" t="e">
        <f t="shared" si="33"/>
        <v>#VALUE!</v>
      </c>
      <c r="AE55" s="135" t="e">
        <f>#REF!+0.5</f>
        <v>#REF!</v>
      </c>
      <c r="AF55" s="136" t="e">
        <f t="shared" si="34"/>
        <v>#VALUE!</v>
      </c>
    </row>
    <row r="56" spans="27:32" x14ac:dyDescent="0.35">
      <c r="AA56" s="137"/>
      <c r="AB56" s="136"/>
      <c r="AC56" s="138"/>
      <c r="AD56" s="134"/>
      <c r="AE56" s="135"/>
      <c r="AF56" s="136"/>
    </row>
    <row r="57" spans="27:32" x14ac:dyDescent="0.35">
      <c r="AA57" s="133">
        <f>D13</f>
        <v>5.015068493150685</v>
      </c>
      <c r="AB57" s="134">
        <f>PWLinear(AA57,$D$7:$D$16,$M$7:$M$16)</f>
        <v>1.2174844399412922E-2</v>
      </c>
      <c r="AC57" s="135">
        <v>14.5</v>
      </c>
      <c r="AD57" s="136">
        <f>PWLinear(AC57,$D$7:$D$16,$M$7:$M$16)</f>
        <v>1.229057816159782E-2</v>
      </c>
      <c r="AE57" s="135" t="e">
        <f>AE55+0.5</f>
        <v>#REF!</v>
      </c>
      <c r="AF57" s="136" t="e">
        <f>PWLinear(AE57,$D$7:$D$16,$M$7:$M$16)</f>
        <v>#VALUE!</v>
      </c>
    </row>
    <row r="58" spans="27:32" x14ac:dyDescent="0.35">
      <c r="AA58" s="133"/>
      <c r="AB58" s="134"/>
      <c r="AC58" s="135"/>
      <c r="AD58" s="136"/>
      <c r="AE58" s="135"/>
      <c r="AF58" s="136"/>
    </row>
    <row r="59" spans="27:32" x14ac:dyDescent="0.35">
      <c r="AA59" s="133"/>
      <c r="AB59" s="134"/>
      <c r="AC59" s="135"/>
      <c r="AD59" s="136"/>
      <c r="AE59" s="135"/>
      <c r="AF59" s="136"/>
    </row>
    <row r="60" spans="27:32" x14ac:dyDescent="0.35">
      <c r="AA60" s="137">
        <v>4.5</v>
      </c>
      <c r="AB60" s="136">
        <f t="shared" ref="AB60:AB68" si="40">PWLinear(AA60,$D$7:$D$16,$M$7:$M$16)</f>
        <v>1.2380471431742066E-2</v>
      </c>
      <c r="AC60" s="135">
        <f>AC57+0.5</f>
        <v>15</v>
      </c>
      <c r="AD60" s="136">
        <f t="shared" ref="AD60:AD68" si="41">PWLinear(AC60,$D$7:$D$16,$M$7:$M$16)</f>
        <v>1.229057816159782E-2</v>
      </c>
      <c r="AE60" s="135" t="e">
        <f t="shared" ref="AE60" si="42">AE57+0.5</f>
        <v>#REF!</v>
      </c>
      <c r="AF60" s="136" t="e">
        <f t="shared" ref="AF60:AF68" si="43">PWLinear(AE60,$D$7:$D$16,$M$7:$M$16)</f>
        <v>#VALUE!</v>
      </c>
    </row>
    <row r="61" spans="27:32" x14ac:dyDescent="0.35">
      <c r="AA61" s="137">
        <f t="shared" ref="AA61" si="44">AA60+0.5</f>
        <v>5</v>
      </c>
      <c r="AB61" s="136">
        <f t="shared" si="40"/>
        <v>1.2180860083869359E-2</v>
      </c>
      <c r="AC61" s="135">
        <f t="shared" ref="AC61" si="45">AC60+0.5</f>
        <v>15.5</v>
      </c>
      <c r="AD61" s="136">
        <f t="shared" si="41"/>
        <v>1.229057816159782E-2</v>
      </c>
      <c r="AE61" s="138" t="e">
        <f>#REF!</f>
        <v>#REF!</v>
      </c>
      <c r="AF61" s="134" t="e">
        <f t="shared" si="43"/>
        <v>#VALUE!</v>
      </c>
    </row>
    <row r="62" spans="27:32" x14ac:dyDescent="0.35">
      <c r="AA62" s="133">
        <f>D14</f>
        <v>5.2643835616438359</v>
      </c>
      <c r="AB62" s="134">
        <f t="shared" si="40"/>
        <v>1.2050654352857995E-2</v>
      </c>
      <c r="AC62" s="135">
        <f t="shared" si="37"/>
        <v>16</v>
      </c>
      <c r="AD62" s="136">
        <f t="shared" si="41"/>
        <v>1.229057816159782E-2</v>
      </c>
      <c r="AE62" s="135">
        <v>27</v>
      </c>
      <c r="AF62" s="136">
        <f t="shared" si="43"/>
        <v>1.229057816159782E-2</v>
      </c>
    </row>
    <row r="63" spans="27:32" x14ac:dyDescent="0.35">
      <c r="AA63" s="137">
        <v>5.5</v>
      </c>
      <c r="AB63" s="136">
        <f t="shared" si="40"/>
        <v>1.2055813695160351E-2</v>
      </c>
      <c r="AC63" s="135">
        <f t="shared" si="37"/>
        <v>16.5</v>
      </c>
      <c r="AD63" s="136">
        <f t="shared" si="41"/>
        <v>1.229057816159782E-2</v>
      </c>
      <c r="AE63" s="135">
        <f t="shared" si="39"/>
        <v>27.5</v>
      </c>
      <c r="AF63" s="136">
        <f t="shared" si="43"/>
        <v>1.229057816159782E-2</v>
      </c>
    </row>
    <row r="64" spans="27:32" x14ac:dyDescent="0.35">
      <c r="AA64" s="137">
        <f t="shared" ref="AA64:AA67" si="46">AA63+0.5</f>
        <v>6</v>
      </c>
      <c r="AB64" s="136">
        <f t="shared" si="40"/>
        <v>1.2066762299464769E-2</v>
      </c>
      <c r="AC64" s="135">
        <f t="shared" si="37"/>
        <v>17</v>
      </c>
      <c r="AD64" s="136">
        <f t="shared" si="41"/>
        <v>1.229057816159782E-2</v>
      </c>
      <c r="AE64" s="135">
        <f t="shared" si="39"/>
        <v>28</v>
      </c>
      <c r="AF64" s="136">
        <f t="shared" si="43"/>
        <v>1.229057816159782E-2</v>
      </c>
    </row>
    <row r="65" spans="27:32" x14ac:dyDescent="0.35">
      <c r="AA65" s="133">
        <f>D15</f>
        <v>6.2643835616438359</v>
      </c>
      <c r="AB65" s="134">
        <f t="shared" si="40"/>
        <v>1.207255156146683E-2</v>
      </c>
      <c r="AC65" s="135">
        <f t="shared" si="37"/>
        <v>17.5</v>
      </c>
      <c r="AD65" s="136">
        <f t="shared" si="41"/>
        <v>1.229057816159782E-2</v>
      </c>
      <c r="AE65" s="135">
        <f t="shared" si="39"/>
        <v>28.5</v>
      </c>
      <c r="AF65" s="136">
        <f t="shared" si="43"/>
        <v>1.229057816159782E-2</v>
      </c>
    </row>
    <row r="66" spans="27:32" x14ac:dyDescent="0.35">
      <c r="AA66" s="137">
        <v>6.5</v>
      </c>
      <c r="AB66" s="136">
        <f t="shared" si="40"/>
        <v>1.2123922212456598E-2</v>
      </c>
      <c r="AC66" s="135">
        <f t="shared" si="37"/>
        <v>18</v>
      </c>
      <c r="AD66" s="136">
        <f t="shared" si="41"/>
        <v>1.229057816159782E-2</v>
      </c>
      <c r="AE66" s="135">
        <f t="shared" si="39"/>
        <v>29</v>
      </c>
      <c r="AF66" s="136">
        <f t="shared" si="43"/>
        <v>1.229057816159782E-2</v>
      </c>
    </row>
    <row r="67" spans="27:32" x14ac:dyDescent="0.35">
      <c r="AA67" s="137">
        <f t="shared" si="46"/>
        <v>7</v>
      </c>
      <c r="AB67" s="136">
        <f t="shared" si="40"/>
        <v>1.2232935512522093E-2</v>
      </c>
      <c r="AC67" s="138" t="e">
        <f>#REF!</f>
        <v>#REF!</v>
      </c>
      <c r="AD67" s="134" t="e">
        <f t="shared" si="41"/>
        <v>#VALUE!</v>
      </c>
      <c r="AE67" s="135">
        <f t="shared" si="39"/>
        <v>29.5</v>
      </c>
      <c r="AF67" s="136">
        <f t="shared" si="43"/>
        <v>1.229057816159782E-2</v>
      </c>
    </row>
    <row r="68" spans="27:32" ht="15" thickBot="1" x14ac:dyDescent="0.4">
      <c r="AA68" s="139">
        <f t="shared" si="38"/>
        <v>7.5</v>
      </c>
      <c r="AB68" s="140">
        <f t="shared" si="40"/>
        <v>1.229057816159782E-2</v>
      </c>
      <c r="AC68" s="141">
        <v>18.5</v>
      </c>
      <c r="AD68" s="140">
        <f t="shared" si="41"/>
        <v>1.229057816159782E-2</v>
      </c>
      <c r="AE68" s="141">
        <f t="shared" si="39"/>
        <v>30</v>
      </c>
      <c r="AF68" s="140">
        <f t="shared" si="43"/>
        <v>1.229057816159782E-2</v>
      </c>
    </row>
  </sheetData>
  <mergeCells count="15">
    <mergeCell ref="A32:I32"/>
    <mergeCell ref="J32:K32"/>
    <mergeCell ref="A33:K33"/>
    <mergeCell ref="E5:F5"/>
    <mergeCell ref="A17:I17"/>
    <mergeCell ref="J17:K17"/>
    <mergeCell ref="E18:F18"/>
    <mergeCell ref="G18:H18"/>
    <mergeCell ref="E20:F20"/>
    <mergeCell ref="C1:D1"/>
    <mergeCell ref="E3:F3"/>
    <mergeCell ref="G3:H3"/>
    <mergeCell ref="Z3:AA3"/>
    <mergeCell ref="R4:T4"/>
    <mergeCell ref="U4:W4"/>
  </mergeCells>
  <pageMargins left="0.7" right="0.7" top="0.75" bottom="0.75" header="0.3" footer="0.3"/>
  <pageSetup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7FBB6-E703-4847-9924-13AC9FA34915}">
  <sheetPr codeName="Sheet2"/>
  <dimension ref="A1:R24"/>
  <sheetViews>
    <sheetView showGridLines="0" workbookViewId="0">
      <selection activeCell="B27" sqref="B27"/>
    </sheetView>
  </sheetViews>
  <sheetFormatPr defaultRowHeight="12.5" x14ac:dyDescent="0.25"/>
  <cols>
    <col min="1" max="1" width="9.6328125" style="1" bestFit="1" customWidth="1"/>
    <col min="2" max="2" width="9" style="1" bestFit="1" customWidth="1"/>
    <col min="3" max="8" width="9.26953125" style="1" customWidth="1"/>
    <col min="9" max="16384" width="8.7265625" style="1"/>
  </cols>
  <sheetData>
    <row r="1" spans="1:4" x14ac:dyDescent="0.25">
      <c r="A1" s="2"/>
      <c r="B1" s="2"/>
      <c r="C1" s="2"/>
      <c r="D1" s="2" t="s">
        <v>50</v>
      </c>
    </row>
    <row r="2" spans="1:4" x14ac:dyDescent="0.25">
      <c r="A2" s="2" t="s">
        <v>22</v>
      </c>
      <c r="B2" s="2" t="s">
        <v>51</v>
      </c>
      <c r="C2" s="2" t="s">
        <v>11</v>
      </c>
      <c r="D2" s="2" t="s">
        <v>52</v>
      </c>
    </row>
    <row r="3" spans="1:4" x14ac:dyDescent="0.25">
      <c r="A3" s="142">
        <v>43829</v>
      </c>
      <c r="B3" s="143">
        <v>0.37052000000000002</v>
      </c>
      <c r="C3" s="144">
        <v>36.049999999999997</v>
      </c>
      <c r="D3" s="145">
        <f>2*LN(1+B3/C3)</f>
        <v>2.0450976671757295E-2</v>
      </c>
    </row>
    <row r="4" spans="1:4" x14ac:dyDescent="0.25">
      <c r="A4" s="146">
        <v>43635</v>
      </c>
      <c r="B4" s="147">
        <v>0.246</v>
      </c>
      <c r="C4" s="148">
        <v>32.28</v>
      </c>
      <c r="D4" s="149">
        <f t="shared" ref="D4:D17" si="0">2*LN(1+B4/C4)</f>
        <v>1.518385220901612E-2</v>
      </c>
    </row>
    <row r="5" spans="1:4" x14ac:dyDescent="0.25">
      <c r="A5" s="146">
        <v>43462</v>
      </c>
      <c r="B5" s="147">
        <v>0.28699999999999998</v>
      </c>
      <c r="C5" s="148">
        <v>28.1</v>
      </c>
      <c r="D5" s="149">
        <f t="shared" si="0"/>
        <v>2.0323435101371704E-2</v>
      </c>
    </row>
    <row r="6" spans="1:4" x14ac:dyDescent="0.25">
      <c r="A6" s="146">
        <v>43276</v>
      </c>
      <c r="B6" s="147">
        <v>0.22800000000000001</v>
      </c>
      <c r="C6" s="148">
        <v>31.33</v>
      </c>
      <c r="D6" s="149">
        <f t="shared" si="0"/>
        <v>1.4502035298753714E-2</v>
      </c>
    </row>
    <row r="7" spans="1:4" x14ac:dyDescent="0.25">
      <c r="A7" s="146">
        <v>43097</v>
      </c>
      <c r="B7" s="147">
        <v>0.254</v>
      </c>
      <c r="C7" s="148">
        <v>30.72</v>
      </c>
      <c r="D7" s="149">
        <f t="shared" si="0"/>
        <v>1.646846922902254E-2</v>
      </c>
    </row>
    <row r="8" spans="1:4" x14ac:dyDescent="0.25">
      <c r="A8" s="146">
        <v>42909</v>
      </c>
      <c r="B8" s="147">
        <v>0.193</v>
      </c>
      <c r="C8" s="148">
        <v>27.95</v>
      </c>
      <c r="D8" s="149">
        <f t="shared" si="0"/>
        <v>1.376291242163109E-2</v>
      </c>
    </row>
    <row r="9" spans="1:4" x14ac:dyDescent="0.25">
      <c r="A9" s="146">
        <f>A7-365</f>
        <v>42732</v>
      </c>
      <c r="B9" s="147">
        <v>0.22800000000000001</v>
      </c>
      <c r="C9" s="148">
        <v>26.05</v>
      </c>
      <c r="D9" s="149">
        <f t="shared" si="0"/>
        <v>1.7428638040508707E-2</v>
      </c>
    </row>
    <row r="10" spans="1:4" x14ac:dyDescent="0.25">
      <c r="A10" s="146">
        <v>42536</v>
      </c>
      <c r="B10" s="147">
        <v>0.218</v>
      </c>
      <c r="C10" s="148">
        <v>23.93</v>
      </c>
      <c r="D10" s="149">
        <f t="shared" si="0"/>
        <v>1.8137318027795543E-2</v>
      </c>
    </row>
    <row r="11" spans="1:4" x14ac:dyDescent="0.25">
      <c r="A11" s="146">
        <f t="shared" ref="A11:A13" si="1">A9-365</f>
        <v>42367</v>
      </c>
      <c r="B11" s="147">
        <v>0.248</v>
      </c>
      <c r="C11" s="148">
        <v>23.91</v>
      </c>
      <c r="D11" s="149">
        <f t="shared" si="0"/>
        <v>2.0637613425706521E-2</v>
      </c>
    </row>
    <row r="12" spans="1:4" x14ac:dyDescent="0.25">
      <c r="A12" s="146">
        <v>42172</v>
      </c>
      <c r="B12" s="147">
        <v>0.189</v>
      </c>
      <c r="C12" s="148">
        <v>24.33</v>
      </c>
      <c r="D12" s="149">
        <f t="shared" si="0"/>
        <v>1.5476340813342359E-2</v>
      </c>
    </row>
    <row r="13" spans="1:4" x14ac:dyDescent="0.25">
      <c r="A13" s="146">
        <f t="shared" si="1"/>
        <v>42002</v>
      </c>
      <c r="B13" s="147">
        <v>0.19500000000000001</v>
      </c>
      <c r="C13" s="148">
        <v>24.2</v>
      </c>
      <c r="D13" s="149">
        <f t="shared" si="0"/>
        <v>1.6051120210319555E-2</v>
      </c>
    </row>
    <row r="14" spans="1:4" x14ac:dyDescent="0.25">
      <c r="A14" s="146">
        <v>41808</v>
      </c>
      <c r="B14" s="147">
        <v>0.17199999999999999</v>
      </c>
      <c r="C14" s="148">
        <v>22.47</v>
      </c>
      <c r="D14" s="149">
        <f t="shared" si="0"/>
        <v>1.5251004917359643E-2</v>
      </c>
    </row>
    <row r="15" spans="1:4" x14ac:dyDescent="0.25">
      <c r="A15" s="146">
        <v>41635</v>
      </c>
      <c r="B15" s="147">
        <v>0.18099999999999999</v>
      </c>
      <c r="C15" s="148">
        <v>21.18</v>
      </c>
      <c r="D15" s="149">
        <f t="shared" si="0"/>
        <v>1.7018978604554594E-2</v>
      </c>
    </row>
    <row r="16" spans="1:4" x14ac:dyDescent="0.25">
      <c r="A16" s="146">
        <v>41444</v>
      </c>
      <c r="B16" s="147">
        <v>0.129</v>
      </c>
      <c r="C16" s="148">
        <v>19.02</v>
      </c>
      <c r="D16" s="149">
        <f t="shared" si="0"/>
        <v>1.3518875649571507E-2</v>
      </c>
    </row>
    <row r="17" spans="1:18" ht="13" thickBot="1" x14ac:dyDescent="0.3">
      <c r="A17" s="150">
        <v>41267</v>
      </c>
      <c r="B17" s="151">
        <v>0.17299999999999999</v>
      </c>
      <c r="C17" s="152">
        <v>16.440000000000001</v>
      </c>
      <c r="D17" s="153">
        <f t="shared" si="0"/>
        <v>2.0936263552615613E-2</v>
      </c>
    </row>
    <row r="18" spans="1:18" x14ac:dyDescent="0.25">
      <c r="C18" s="3" t="s">
        <v>53</v>
      </c>
      <c r="D18" s="154">
        <f>AVERAGE(D3:D17)</f>
        <v>1.7009855611555103E-2</v>
      </c>
    </row>
    <row r="19" spans="1:18" x14ac:dyDescent="0.25">
      <c r="C19" s="3"/>
      <c r="D19" s="154">
        <f>AVERAGE(D3:D5)</f>
        <v>1.8652754660715039E-2</v>
      </c>
    </row>
    <row r="20" spans="1:18" x14ac:dyDescent="0.25">
      <c r="C20" s="3"/>
      <c r="D20" s="154"/>
    </row>
    <row r="21" spans="1:18" x14ac:dyDescent="0.25">
      <c r="C21" s="1">
        <v>2.2200000000000002</v>
      </c>
      <c r="D21" s="155" t="s">
        <v>54</v>
      </c>
      <c r="E21" s="155"/>
      <c r="F21" s="155"/>
      <c r="G21" s="155"/>
      <c r="H21" s="155"/>
      <c r="I21" s="155"/>
      <c r="J21" s="155"/>
      <c r="K21" s="155"/>
      <c r="L21" s="155"/>
      <c r="M21" s="155"/>
      <c r="N21" s="155"/>
      <c r="O21" s="155"/>
      <c r="P21" s="155"/>
      <c r="Q21" s="155"/>
      <c r="R21" s="155"/>
    </row>
    <row r="22" spans="1:18" x14ac:dyDescent="0.25">
      <c r="C22" s="1">
        <v>2.0499999999999998</v>
      </c>
    </row>
    <row r="23" spans="1:18" x14ac:dyDescent="0.25">
      <c r="C23" s="1">
        <v>1.88</v>
      </c>
      <c r="D23" s="155" t="s">
        <v>55</v>
      </c>
      <c r="E23" s="155"/>
      <c r="F23" s="155"/>
      <c r="G23" s="155"/>
      <c r="H23" s="155"/>
      <c r="I23" s="155"/>
    </row>
    <row r="24" spans="1:18" x14ac:dyDescent="0.25">
      <c r="D24" s="155" t="s">
        <v>56</v>
      </c>
      <c r="E24" s="155"/>
      <c r="F24" s="155"/>
      <c r="G24" s="155"/>
      <c r="H24" s="155"/>
      <c r="I24" s="155"/>
    </row>
  </sheetData>
  <mergeCells count="3">
    <mergeCell ref="D21:R21"/>
    <mergeCell ref="D23:I23"/>
    <mergeCell ref="D24:I24"/>
  </mergeCells>
  <hyperlinks>
    <hyperlink ref="D23" r:id="rId1" xr:uid="{5F58C34C-ACC6-42AA-98E1-2CB20F00D8C0}"/>
    <hyperlink ref="D24" r:id="rId2" xr:uid="{87598B4B-D35C-41F5-9D81-AC99A6C95451}"/>
    <hyperlink ref="D21" r:id="rId3" xr:uid="{67EA7506-C6EC-4003-999B-3A3956F52750}"/>
  </hyperlinks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7DB6CE-2A54-4764-873C-BC2C643E321B}">
  <sheetPr codeName="Sheet5"/>
  <dimension ref="A1:K6"/>
  <sheetViews>
    <sheetView showGridLines="0" tabSelected="1" workbookViewId="0">
      <selection activeCell="A6" sqref="A6:K6"/>
    </sheetView>
  </sheetViews>
  <sheetFormatPr defaultRowHeight="12.5" x14ac:dyDescent="0.25"/>
  <cols>
    <col min="1" max="1" width="9.6328125" style="1" customWidth="1"/>
    <col min="2" max="2" width="7.6328125" style="1" bestFit="1" customWidth="1"/>
    <col min="3" max="3" width="6" style="1" bestFit="1" customWidth="1"/>
    <col min="4" max="4" width="5.6328125" style="1" bestFit="1" customWidth="1"/>
    <col min="5" max="5" width="6.6328125" style="1" bestFit="1" customWidth="1"/>
    <col min="6" max="6" width="7" style="1" bestFit="1" customWidth="1"/>
    <col min="7" max="11" width="7" style="1" customWidth="1"/>
    <col min="12" max="12" width="9.26953125" style="1" customWidth="1"/>
    <col min="13" max="16384" width="8.7265625" style="1"/>
  </cols>
  <sheetData>
    <row r="1" spans="1:11" x14ac:dyDescent="0.25">
      <c r="A1" s="188"/>
      <c r="B1" s="188"/>
      <c r="C1" s="188"/>
      <c r="D1" s="188"/>
      <c r="E1" s="188"/>
      <c r="F1" s="188"/>
      <c r="G1" s="188"/>
      <c r="H1" s="194" t="s">
        <v>74</v>
      </c>
      <c r="I1" s="194"/>
      <c r="J1" s="185">
        <v>34</v>
      </c>
      <c r="K1" s="187"/>
    </row>
    <row r="2" spans="1:11" x14ac:dyDescent="0.25">
      <c r="A2" s="184"/>
      <c r="B2" s="184" t="s">
        <v>57</v>
      </c>
      <c r="C2" s="195" t="s">
        <v>75</v>
      </c>
      <c r="D2" s="195"/>
      <c r="E2" s="195"/>
      <c r="F2" s="183">
        <f>'Dividend-Yield'!$D$18</f>
        <v>1.7009855611555103E-2</v>
      </c>
      <c r="G2" s="193" t="s">
        <v>73</v>
      </c>
      <c r="H2" s="193"/>
      <c r="I2" s="193"/>
      <c r="J2" s="182">
        <v>44638</v>
      </c>
      <c r="K2" s="182"/>
    </row>
    <row r="3" spans="1:11" x14ac:dyDescent="0.25">
      <c r="A3" s="184"/>
      <c r="B3" s="184" t="s">
        <v>11</v>
      </c>
      <c r="C3" s="184" t="s">
        <v>58</v>
      </c>
      <c r="D3" s="184" t="s">
        <v>68</v>
      </c>
      <c r="E3" s="186" t="s">
        <v>11</v>
      </c>
      <c r="F3" s="186" t="s">
        <v>59</v>
      </c>
      <c r="G3" s="186" t="s">
        <v>60</v>
      </c>
      <c r="H3" s="186" t="s">
        <v>69</v>
      </c>
      <c r="I3" s="186" t="s">
        <v>70</v>
      </c>
      <c r="J3" s="186" t="s">
        <v>71</v>
      </c>
      <c r="K3" s="186" t="s">
        <v>72</v>
      </c>
    </row>
    <row r="4" spans="1:11" ht="13" x14ac:dyDescent="0.3">
      <c r="A4" s="156">
        <v>43886</v>
      </c>
      <c r="B4" s="157">
        <v>34.590000000000003</v>
      </c>
      <c r="C4" s="178">
        <f>'Discount-Factors'!S11</f>
        <v>1.3427831424229163E-2</v>
      </c>
      <c r="D4" s="181">
        <f>DATEDIF(A4,$J$2,"Y") +DATEDIF(A4,$J$2,"YD")/365.25</f>
        <v>2.0574948665297743</v>
      </c>
      <c r="E4" s="159">
        <v>2.35</v>
      </c>
      <c r="F4" s="160">
        <v>0.111</v>
      </c>
      <c r="G4" s="197">
        <v>0.11489051962830144</v>
      </c>
      <c r="H4" s="189">
        <f>(LN($B4/J$1)+($C4-$F$2+0.5*G4^2)*$D4)/(G4*SQRT($D4))</f>
        <v>0.14207275861932192</v>
      </c>
      <c r="I4" s="158">
        <f>H4-G4*SQRT($D4)</f>
        <v>-2.2725862586247508E-2</v>
      </c>
      <c r="J4" s="191">
        <f>$B4*EXP(-$F$2*$D4)*NORMDIST(H4,0,1,TRUE)-J$1*EXP(-$C4*$D4)*NORMDIST(I4,0,1,TRUE)</f>
        <v>2.3499997484462156</v>
      </c>
      <c r="K4" s="191">
        <f>ABS(J4-E4)</f>
        <v>2.515537844693938E-7</v>
      </c>
    </row>
    <row r="5" spans="1:11" ht="13.5" thickBot="1" x14ac:dyDescent="0.35">
      <c r="A5" s="161">
        <v>43893</v>
      </c>
      <c r="B5" s="162">
        <v>33.159999999999997</v>
      </c>
      <c r="C5" s="179">
        <f>'Discount-Factors'!V11</f>
        <v>9.7420463366328838E-3</v>
      </c>
      <c r="D5" s="180">
        <f>DATEDIF(A5,$J$2,"Y") +DATEDIF(A5,$J$2,"YD")/365.25</f>
        <v>2.0410677618069815</v>
      </c>
      <c r="E5" s="164">
        <v>1.9</v>
      </c>
      <c r="F5" s="165">
        <v>0.10199999999999999</v>
      </c>
      <c r="G5" s="198">
        <v>0.13429674386094356</v>
      </c>
      <c r="H5" s="190">
        <f>(LN($B5/J$1)+($C5-$F$2+0.5*G5^2)*$D5)/(G5*SQRT($D5))</f>
        <v>-0.11176820247280264</v>
      </c>
      <c r="I5" s="163">
        <f>H5-G5*SQRT($D5)</f>
        <v>-0.30363251176734496</v>
      </c>
      <c r="J5" s="192">
        <f>$B5*EXP(-$F$2*$D5)*NORMDIST(H5,0,1,TRUE)-J$1*EXP(-$C5*$D5)*NORMDIST(I5,0,1,TRUE)</f>
        <v>1.8999995554151585</v>
      </c>
      <c r="K5" s="192">
        <f>ABS(J5-E5)</f>
        <v>4.4458484138587551E-7</v>
      </c>
    </row>
    <row r="6" spans="1:11" ht="14.5" x14ac:dyDescent="0.35">
      <c r="A6" s="196" t="s">
        <v>76</v>
      </c>
      <c r="B6" s="196"/>
      <c r="C6" s="196"/>
      <c r="D6" s="196"/>
      <c r="E6" s="196"/>
      <c r="F6" s="196"/>
      <c r="G6" s="196"/>
      <c r="H6" s="196"/>
      <c r="I6" s="196"/>
      <c r="J6" s="196"/>
      <c r="K6" s="196"/>
    </row>
  </sheetData>
  <mergeCells count="5">
    <mergeCell ref="A6:K6"/>
    <mergeCell ref="G2:I2"/>
    <mergeCell ref="J2:K2"/>
    <mergeCell ref="H1:I1"/>
    <mergeCell ref="C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Bond-Info</vt:lpstr>
      <vt:lpstr>Discount-Factors</vt:lpstr>
      <vt:lpstr>Dividend-Yield</vt:lpstr>
      <vt:lpstr>Implied-Volatility</vt:lpstr>
    </vt:vector>
  </TitlesOfParts>
  <Company>University of Cambridge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Yazann Romahi</dc:creator>
  <cp:lastModifiedBy>Daniel Fudge</cp:lastModifiedBy>
  <dcterms:created xsi:type="dcterms:W3CDTF">2002-08-14T18:48:00Z</dcterms:created>
  <dcterms:modified xsi:type="dcterms:W3CDTF">2020-03-08T19:08:31Z</dcterms:modified>
</cp:coreProperties>
</file>